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7299605-B696-4389-AD35-4F75AA6CCDF7}" xr6:coauthVersionLast="36" xr6:coauthVersionMax="36" xr10:uidLastSave="{00000000-0000-0000-0000-000000000000}"/>
  <bookViews>
    <workbookView xWindow="0" yWindow="0" windowWidth="28800" windowHeight="12210" activeTab="1" xr2:uid="{00000000-000D-0000-FFFF-FFFF00000000}"/>
  </bookViews>
  <sheets>
    <sheet name="Risks" sheetId="1" r:id="rId1"/>
    <sheet name="Assumptions" sheetId="2" r:id="rId2"/>
    <sheet name="Issues" sheetId="3" r:id="rId3"/>
    <sheet name="Dependencies" sheetId="4" r:id="rId4"/>
    <sheet name="Instructions" sheetId="5" r:id="rId5"/>
  </sheets>
  <definedNames>
    <definedName name="_xlnm.Print_Area" localSheetId="1">Assumptions!$A$1:$M$62</definedName>
    <definedName name="_xlnm.Print_Area" localSheetId="3">Dependencies!$A$1:$M$62</definedName>
    <definedName name="_xlnm.Print_Area" localSheetId="2">Issues!$A$1:$O$62</definedName>
    <definedName name="_xlnm.Print_Area" localSheetId="0">Risks!$A$1:$P$62</definedName>
  </definedNames>
  <calcPr calcId="191029"/>
</workbook>
</file>

<file path=xl/calcChain.xml><?xml version="1.0" encoding="utf-8"?>
<calcChain xmlns="http://schemas.openxmlformats.org/spreadsheetml/2006/main">
  <c r="J9" i="4" l="1"/>
  <c r="H9" i="4"/>
  <c r="F9" i="4"/>
  <c r="D9" i="4"/>
  <c r="B9" i="4"/>
  <c r="L9" i="3"/>
  <c r="J9" i="3"/>
  <c r="H9" i="3"/>
  <c r="F9" i="3"/>
  <c r="D9" i="3"/>
  <c r="B9" i="3"/>
  <c r="J9" i="2"/>
  <c r="H9" i="2"/>
  <c r="F9" i="2"/>
  <c r="D9" i="2"/>
  <c r="B9" i="2"/>
  <c r="N9" i="1"/>
  <c r="L9" i="1"/>
  <c r="J9" i="1"/>
  <c r="H9" i="1"/>
  <c r="F9" i="1"/>
  <c r="D9" i="1"/>
  <c r="B9" i="1"/>
</calcChain>
</file>

<file path=xl/sharedStrings.xml><?xml version="1.0" encoding="utf-8"?>
<sst xmlns="http://schemas.openxmlformats.org/spreadsheetml/2006/main" count="394" uniqueCount="249">
  <si>
    <t>RAID LOG — RISKS</t>
  </si>
  <si>
    <t xml:space="preserve">  DOCUMENT CONTROL</t>
  </si>
  <si>
    <t>Project Name</t>
  </si>
  <si>
    <t>Project Manager</t>
  </si>
  <si>
    <t>Document ID</t>
  </si>
  <si>
    <t>PMO-RAID-001</t>
  </si>
  <si>
    <t>Version</t>
  </si>
  <si>
    <t>1.0</t>
  </si>
  <si>
    <t>Last Updated</t>
  </si>
  <si>
    <t xml:space="preserve">  RISK SUMMARY</t>
  </si>
  <si>
    <t>TOTAL RISKS</t>
  </si>
  <si>
    <t>OPEN</t>
  </si>
  <si>
    <t>CLOSED</t>
  </si>
  <si>
    <t>ESCALATED</t>
  </si>
  <si>
    <t>HIGH RATED</t>
  </si>
  <si>
    <t>MEDIUM RATED</t>
  </si>
  <si>
    <t>LOW RATED</t>
  </si>
  <si>
    <t>Risk ID</t>
  </si>
  <si>
    <t>Category</t>
  </si>
  <si>
    <t>Risk Description</t>
  </si>
  <si>
    <t>Trigger / Cause</t>
  </si>
  <si>
    <t>Probability</t>
  </si>
  <si>
    <t>Impact</t>
  </si>
  <si>
    <t>Risk Rating</t>
  </si>
  <si>
    <t>Mitigation Plan</t>
  </si>
  <si>
    <t>Contingency Plan</t>
  </si>
  <si>
    <t>Owner</t>
  </si>
  <si>
    <t>Date Raised</t>
  </si>
  <si>
    <t>Review Date</t>
  </si>
  <si>
    <t>Status</t>
  </si>
  <si>
    <t>Remarks</t>
  </si>
  <si>
    <t>R-001</t>
  </si>
  <si>
    <t>Schedule</t>
  </si>
  <si>
    <t>Resource availability during UAT phase may impact testing timeline</t>
  </si>
  <si>
    <t>Key QA resource assigned to parallel project</t>
  </si>
  <si>
    <t>MEDIUM</t>
  </si>
  <si>
    <t>HIGH</t>
  </si>
  <si>
    <t>Confirm QA resource allocation with PM before Phase 4 begins. Request backup resource if needed.</t>
  </si>
  <si>
    <t>Engage contract QA tester as backup if primary unavailable.</t>
  </si>
  <si>
    <t>Project Coordinator</t>
  </si>
  <si>
    <t>05/02/25</t>
  </si>
  <si>
    <t>05/03/25</t>
  </si>
  <si>
    <t>Monitor weekly</t>
  </si>
  <si>
    <t>R-002</t>
  </si>
  <si>
    <t>Technical</t>
  </si>
  <si>
    <t>Data migration complexity may delay sign-off milestone</t>
  </si>
  <si>
    <t>Legacy system data quality issues identified during extraction</t>
  </si>
  <si>
    <t>Conduct data profiling exercise in Phase 3 to identify and resolve data quality issues early.</t>
  </si>
  <si>
    <t>Extend data migration dry run period by 3 days if issues persist.</t>
  </si>
  <si>
    <t>Business Analyst</t>
  </si>
  <si>
    <t>21/02/25</t>
  </si>
  <si>
    <t>Dry run in progress</t>
  </si>
  <si>
    <t>R-003</t>
  </si>
  <si>
    <t>Integration between Portal and legacy system may fail during testing</t>
  </si>
  <si>
    <t>Undocumented API dependencies in legacy system</t>
  </si>
  <si>
    <t>LOW</t>
  </si>
  <si>
    <t>Conduct API discovery session with legacy system vendor before integration testing begins.</t>
  </si>
  <si>
    <t>Implement middleware workaround if direct integration is not feasible.</t>
  </si>
  <si>
    <t>System Developer</t>
  </si>
  <si>
    <t>10/02/25</t>
  </si>
  <si>
    <t>10/03/25</t>
  </si>
  <si>
    <t>R-004</t>
  </si>
  <si>
    <t>Scope</t>
  </si>
  <si>
    <t>Client may request additional dashboard features after BRS sign-off</t>
  </si>
  <si>
    <t>Stakeholder alignment gaps during BRS sessions</t>
  </si>
  <si>
    <t>Conduct thorough requirements review during BRS. Obtain formal sign-off on scope boundary.</t>
  </si>
  <si>
    <t>Raise formal Change Request if new requirements are introduced post BRS sign-off.</t>
  </si>
  <si>
    <t>16/01/25</t>
  </si>
  <si>
    <t>22/01/25</t>
  </si>
  <si>
    <t>BRS signed off. Scope locked.</t>
  </si>
  <si>
    <t>R-005</t>
  </si>
  <si>
    <t>Resource</t>
  </si>
  <si>
    <t>Project Manager availability may be reduced during Go-Live phase</t>
  </si>
  <si>
    <t>PM managing concurrent project in same period</t>
  </si>
  <si>
    <t>Agree PM availability schedule for Go-Live period in advance. Escalate to steering committee if conflict arises.</t>
  </si>
  <si>
    <t>Delegate Go-Live coordination to Project Coordinator if PM unavailable.</t>
  </si>
  <si>
    <t>01/03/25</t>
  </si>
  <si>
    <t>01/04/25</t>
  </si>
  <si>
    <t>R-006</t>
  </si>
  <si>
    <t>Compliance</t>
  </si>
  <si>
    <t>Government agency IT security requirements may delay deployment approval</t>
  </si>
  <si>
    <t>Agency security review process not scoped into deployment timeline</t>
  </si>
  <si>
    <t>Engage agency IT security team during Phase 2 to obtain deployment approval requirements early.</t>
  </si>
  <si>
    <t>Build 5-day buffer into deployment timeline for security clearance.</t>
  </si>
  <si>
    <t>07/03/25</t>
  </si>
  <si>
    <t>RAID LOG — ASSUMPTIONS</t>
  </si>
  <si>
    <t xml:space="preserve">  ASSUMPTION SUMMARY</t>
  </si>
  <si>
    <t>TOTAL</t>
  </si>
  <si>
    <t>VALIDATED</t>
  </si>
  <si>
    <t>PENDING</t>
  </si>
  <si>
    <t>INVALIDATED</t>
  </si>
  <si>
    <t>Assumption ID</t>
  </si>
  <si>
    <t>Assumption Description</t>
  </si>
  <si>
    <t>Basis / Rationale</t>
  </si>
  <si>
    <t>Validated By</t>
  </si>
  <si>
    <t>Validation Date</t>
  </si>
  <si>
    <t>Impact if Wrong</t>
  </si>
  <si>
    <t>A-001</t>
  </si>
  <si>
    <t>Project team resources will be available full-time throughout the project lifecycle</t>
  </si>
  <si>
    <t>Confirmed verbally by PM during kick-off meeting</t>
  </si>
  <si>
    <t>02/01/25</t>
  </si>
  <si>
    <t>Project Sponsor</t>
  </si>
  <si>
    <t>08/01/25</t>
  </si>
  <si>
    <t>Schedule delays and milestone slippage if resources are pulled to other projects</t>
  </si>
  <si>
    <t>Confirmed at kick-off</t>
  </si>
  <si>
    <t>A-002</t>
  </si>
  <si>
    <t>Legacy system APIs are documented and accessible for integration</t>
  </si>
  <si>
    <t>Assumption based on vendor pre-sales technical discussion</t>
  </si>
  <si>
    <t>Integration Phase 3 workstream may fail or be significantly delayed</t>
  </si>
  <si>
    <t>Needs validation in Phase 2</t>
  </si>
  <si>
    <t>A-003</t>
  </si>
  <si>
    <t>Client</t>
  </si>
  <si>
    <t>Client will provide UAT participants within 2 working days of UAT plan distribution</t>
  </si>
  <si>
    <t>Standard government ICT project practice</t>
  </si>
  <si>
    <t>Client Representative</t>
  </si>
  <si>
    <t>UAT timeline will slip if client cannot mobilise participants on time</t>
  </si>
  <si>
    <t>Confirmed in BRS sign-off meeting</t>
  </si>
  <si>
    <t>A-004</t>
  </si>
  <si>
    <t>Environment</t>
  </si>
  <si>
    <t>Test environment will be available and stable throughout Phase 3 and Phase 4</t>
  </si>
  <si>
    <t>Infrastructure provisioning confirmed in Phase 2</t>
  </si>
  <si>
    <t>Testing phases cannot proceed if environment is unavailable or unstable</t>
  </si>
  <si>
    <t>Monitor during Phase 3</t>
  </si>
  <si>
    <t>A-005</t>
  </si>
  <si>
    <t>No changes to approved BRS scope will be requested after sign-off</t>
  </si>
  <si>
    <t>Client confirmed scope freeze at BRS sign-off meeting</t>
  </si>
  <si>
    <t>Budget and schedule overrun if scope changes are approved post sign-off</t>
  </si>
  <si>
    <t>Change request process established</t>
  </si>
  <si>
    <t>A-006</t>
  </si>
  <si>
    <t>Government agency IT security approval will be obtained within 5 working days of submission</t>
  </si>
  <si>
    <t>Based on previous project experience with same agency</t>
  </si>
  <si>
    <t>Go-Live deployment will be delayed if approval takes longer than estimated</t>
  </si>
  <si>
    <t>Build buffer into deployment plan</t>
  </si>
  <si>
    <t>RAID LOG — ISSUES</t>
  </si>
  <si>
    <t xml:space="preserve">  ISSUE SUMMARY</t>
  </si>
  <si>
    <t>RESOLVED</t>
  </si>
  <si>
    <t>HIGH PRI</t>
  </si>
  <si>
    <t>Issue ID</t>
  </si>
  <si>
    <t>Issue Description</t>
  </si>
  <si>
    <t>Priority</t>
  </si>
  <si>
    <t>Raised By</t>
  </si>
  <si>
    <t>Target Date</t>
  </si>
  <si>
    <t>Actual Res. Date</t>
  </si>
  <si>
    <t>Resolution Action</t>
  </si>
  <si>
    <t>I-001</t>
  </si>
  <si>
    <t>Integration test environment setup delayed by 2 days</t>
  </si>
  <si>
    <t>Phase 3 integration testing start date pushed from 10 Feb to 12 Feb</t>
  </si>
  <si>
    <t>07/02/25</t>
  </si>
  <si>
    <t>Server provisioning completed. Environment ready by 7 Feb.</t>
  </si>
  <si>
    <t>Resolved within tolerance</t>
  </si>
  <si>
    <t>I-002</t>
  </si>
  <si>
    <t>Data</t>
  </si>
  <si>
    <t>Legacy system data contains duplicate records affecting migration dry run</t>
  </si>
  <si>
    <t>Data migration dry run results invalid. Sign-off milestone at risk.</t>
  </si>
  <si>
    <t>19/02/25</t>
  </si>
  <si>
    <t>Deduplication script being developed. Re-run scheduled for 22 Feb.</t>
  </si>
  <si>
    <t>Escalate if not resolved by 22 Feb</t>
  </si>
  <si>
    <t>I-003</t>
  </si>
  <si>
    <t>Client UAT participants not confirmed 5 days before UAT start date</t>
  </si>
  <si>
    <t>UAT may need to be delayed if participants are not available on time.</t>
  </si>
  <si>
    <t>03/03/25</t>
  </si>
  <si>
    <t>Follow-up email sent to client representative. Awaiting response.</t>
  </si>
  <si>
    <t>Escalate to PM if no response by 05 Mar</t>
  </si>
  <si>
    <t>I-004</t>
  </si>
  <si>
    <t>Process</t>
  </si>
  <si>
    <t>Change request submitted by client for additional reporting dashboard feature</t>
  </si>
  <si>
    <t>Scope and budget impact to be assessed. May affect Go-Live date.</t>
  </si>
  <si>
    <t>17/02/25</t>
  </si>
  <si>
    <t>CR raised and under review by PM and steering committee.</t>
  </si>
  <si>
    <t>Steering committee decision pending</t>
  </si>
  <si>
    <t>I-005</t>
  </si>
  <si>
    <t>QA Tester unavailable for 3 days during integration testing Phase 2</t>
  </si>
  <si>
    <t>Integration testing Phase 2 duration extended by 3 days.</t>
  </si>
  <si>
    <t>27/02/25</t>
  </si>
  <si>
    <t>Contract QA resource engaged for 3 days to cover gap.</t>
  </si>
  <si>
    <t>Resolved. No impact to milestone date</t>
  </si>
  <si>
    <t>RAID LOG — DEPENDENCIES</t>
  </si>
  <si>
    <t xml:space="preserve">  DEPENDENCY SUMMARY</t>
  </si>
  <si>
    <t>MET</t>
  </si>
  <si>
    <t>AT RISK</t>
  </si>
  <si>
    <t>BLOCKED</t>
  </si>
  <si>
    <t>Dep. ID</t>
  </si>
  <si>
    <t>Type</t>
  </si>
  <si>
    <t>Dependency Description</t>
  </si>
  <si>
    <t>Dependent On</t>
  </si>
  <si>
    <t>External Party</t>
  </si>
  <si>
    <t>Required By</t>
  </si>
  <si>
    <t>Impact if Late</t>
  </si>
  <si>
    <t>Mitigation Action</t>
  </si>
  <si>
    <t>D-001</t>
  </si>
  <si>
    <t>External</t>
  </si>
  <si>
    <t>Legacy system API documentation required before integration design can begin</t>
  </si>
  <si>
    <t>Phase 3 Integration workstream — architecture design</t>
  </si>
  <si>
    <t>Legacy System Vendor</t>
  </si>
  <si>
    <t>Integration design cannot start without API documentation</t>
  </si>
  <si>
    <t>Request documentation from vendor during Phase 2 planning</t>
  </si>
  <si>
    <t>Received 8 Feb</t>
  </si>
  <si>
    <t>D-002</t>
  </si>
  <si>
    <t>Government agency IT security approval required before Go-Live deployment</t>
  </si>
  <si>
    <t>Phase 5 — Go-Live deployment milestone</t>
  </si>
  <si>
    <t>Agency IT Security Team</t>
  </si>
  <si>
    <t>05/04/25</t>
  </si>
  <si>
    <t>Go-Live cannot proceed without formal security clearance</t>
  </si>
  <si>
    <t>Submit security review package 3 weeks before planned Go-Live date</t>
  </si>
  <si>
    <t>Submission planned for 20 Mar</t>
  </si>
  <si>
    <t>D-003</t>
  </si>
  <si>
    <t>Internal</t>
  </si>
  <si>
    <t>BRS sign-off required before SRS drafting can commence</t>
  </si>
  <si>
    <t>Phase 2 — SRS drafting task</t>
  </si>
  <si>
    <t>SRS cannot be drafted without confirmed business requirements</t>
  </si>
  <si>
    <t>Escalate to PM if BRS sign-off delayed beyond planned date</t>
  </si>
  <si>
    <t>BRS signed off 22 Jan</t>
  </si>
  <si>
    <t>D-004</t>
  </si>
  <si>
    <t>Master project schedule baseline required before Phase 3 can commence</t>
  </si>
  <si>
    <t>Phase 3 — All development workstreams</t>
  </si>
  <si>
    <t>30/01/25</t>
  </si>
  <si>
    <t>Phase 3 tasks have no confirmed dates without a baselined schedule</t>
  </si>
  <si>
    <t>PM to approve baseline schedule by end of Phase 2</t>
  </si>
  <si>
    <t>Baseline approved 30 Jan</t>
  </si>
  <si>
    <t>D-005</t>
  </si>
  <si>
    <t>Client UAT participants list and availability confirmation required before UAT plan distribution</t>
  </si>
  <si>
    <t>Phase 4 — UAT plan preparation task</t>
  </si>
  <si>
    <t>UAT plan cannot be finalised without knowing participant names and availability</t>
  </si>
  <si>
    <t>Send formal request to client representative with 5 working day response deadline</t>
  </si>
  <si>
    <t>Follow-up sent. No response yet.</t>
  </si>
  <si>
    <t>D-006</t>
  </si>
  <si>
    <t>Server hardware delivery required before environment configuration can commence</t>
  </si>
  <si>
    <t>Phase 3 — Workstream D environment configuration task</t>
  </si>
  <si>
    <t>Hardware Vendor</t>
  </si>
  <si>
    <t>Environment configuration and testing cannot start without physical hardware</t>
  </si>
  <si>
    <t>Confirm delivery schedule with vendor at least 2 weeks in advance</t>
  </si>
  <si>
    <t>Delivered on time 5 Feb</t>
  </si>
  <si>
    <t>HOW TO USE THIS RAID LOG</t>
  </si>
  <si>
    <t>WHAT IS A RAID LOG</t>
  </si>
  <si>
    <t>RAID stands for Risks, Assumptions, Issues, and Dependencies. It is a core PMO document used to track and manage the four key areas that can impact project delivery. Each category has its own sheet in this workbook. All four are updated regularly and reviewed in project status meetings.</t>
  </si>
  <si>
    <t>RISKS SHEET</t>
  </si>
  <si>
    <t>Log potential events that have not yet happened but could negatively impact the project. For each risk: assign an ID (R-001), describe the risk, identify the trigger, rate probability and impact (HIGH / MEDIUM / LOW), calculate the overall rating, document the mitigation plan, assign an owner, set a review date, and track status (OPEN / CLOSED / ESCALATED).</t>
  </si>
  <si>
    <t>ASSUMPTIONS SHEET</t>
  </si>
  <si>
    <t>Log statements accepted as true for planning purposes but not yet confirmed. For each assumption: assign an ID (A-001), describe the assumption, document the basis, assign an owner, track validation status (PENDING / VALIDATED / INVALID / CLOSED), and document the impact if the assumption turns out to be wrong.</t>
  </si>
  <si>
    <t>ISSUES SHEET</t>
  </si>
  <si>
    <t>Log problems that have already occurred and need resolution. For each issue: assign an ID (I-001), describe the issue, document the impact, set priority (HIGH / MEDIUM / LOW), assign an owner, set a target resolution date, track actual resolution date, and document the resolution action taken. Status: OPEN / RESOLVED / ESCALATED / CLOSED.</t>
  </si>
  <si>
    <t>DEPENDENCIES SHEET</t>
  </si>
  <si>
    <t>Log external or internal items your project depends on to proceed. For each dependency: assign an ID (D-001), describe what is needed, identify what project activity it blocks, name the external party if applicable, set a required-by date, and track status (OPEN / MET / AT RISK / BLOCKED).</t>
  </si>
  <si>
    <t>RISK RATING MATRIX</t>
  </si>
  <si>
    <t>Probability HIGH + Impact HIGH = Risk Rating HIGH. Probability HIGH + Impact MEDIUM = HIGH. Probability MEDIUM + Impact HIGH = HIGH. Probability MEDIUM + Impact MEDIUM = MEDIUM. Probability LOW + Impact HIGH = MEDIUM. Probability LOW + Impact MEDIUM = LOW. Probability LOW + Impact LOW = LOW. When in doubt escalate to MEDIUM.</t>
  </si>
  <si>
    <t>REVIEW CADENCE</t>
  </si>
  <si>
    <t>Review the full RAID log weekly as part of your project status cycle. Update statuses, add new items, and close resolved items. Do not delete closed or resolved items — they form your project audit trail. Escalated items must be reviewed with the Project Manager or Steering Committee within 2 working days.</t>
  </si>
  <si>
    <t>DOCUMENT CONTROL</t>
  </si>
  <si>
    <t>All four sheets share Document ID PMO-RAID-001. Update Version and Last Updated fields each time the log is revised. Classification is Confidential for most government ICT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</si>
</sst>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6"/>
      <color rgb="FFFFFFFF"/>
      <name val="Arial"/>
    </font>
    <font>
      <b/>
      <sz val="10"/>
      <color rgb="FFFFFFFF"/>
      <name val="Arial"/>
    </font>
    <font>
      <b/>
      <sz val="9"/>
      <color rgb="FF000000"/>
      <name val="Arial"/>
    </font>
    <font>
      <sz val="9"/>
      <color rgb="FF000000"/>
      <name val="Arial"/>
    </font>
    <font>
      <b/>
      <sz val="9"/>
      <color rgb="FFFFFFFF"/>
      <name val="Arial"/>
    </font>
    <font>
      <b/>
      <sz val="14"/>
      <color rgb="FF2E75B6"/>
      <name val="Arial"/>
    </font>
    <font>
      <b/>
      <sz val="14"/>
      <color rgb="FF7F6000"/>
      <name val="Arial"/>
    </font>
    <font>
      <b/>
      <sz val="14"/>
      <color rgb="FF375623"/>
      <name val="Arial"/>
    </font>
    <font>
      <b/>
      <sz val="14"/>
      <color rgb="FFC00000"/>
      <name val="Arial"/>
    </font>
    <font>
      <b/>
      <sz val="9"/>
      <color rgb="FF7F6000"/>
      <name val="Arial"/>
    </font>
    <font>
      <b/>
      <sz val="9"/>
      <color rgb="FFC00000"/>
      <name val="Arial"/>
    </font>
    <font>
      <b/>
      <sz val="9"/>
      <color rgb="FF375623"/>
      <name val="Arial"/>
    </font>
    <font>
      <sz val="9"/>
      <name val="Arial"/>
    </font>
    <font>
      <b/>
      <sz val="14"/>
      <color rgb="FF595959"/>
      <name val="Arial"/>
    </font>
    <font>
      <b/>
      <sz val="9"/>
      <color rgb="FF595959"/>
      <name val="Arial"/>
    </font>
    <font>
      <b/>
      <sz val="13"/>
      <color rgb="FFFFFFFF"/>
      <name val="Arial"/>
    </font>
    <font>
      <sz val="10"/>
      <name val="Arial"/>
    </font>
  </fonts>
  <fills count="11">
    <fill>
      <patternFill patternType="none"/>
    </fill>
    <fill>
      <patternFill patternType="gray125"/>
    </fill>
    <fill>
      <patternFill patternType="solid">
        <fgColor rgb="FF1C3557"/>
      </patternFill>
    </fill>
    <fill>
      <patternFill patternType="solid">
        <fgColor rgb="FFDEEAF1"/>
      </patternFill>
    </fill>
    <fill>
      <patternFill patternType="solid">
        <fgColor rgb="FFFFFFFF"/>
      </patternFill>
    </fill>
    <fill>
      <patternFill patternType="solid">
        <fgColor rgb="FF2E75B6"/>
      </patternFill>
    </fill>
    <fill>
      <patternFill patternType="solid">
        <fgColor rgb="FFFFF2CC"/>
      </patternFill>
    </fill>
    <fill>
      <patternFill patternType="solid">
        <fgColor rgb="FFE2EFDA"/>
      </patternFill>
    </fill>
    <fill>
      <patternFill patternType="solid">
        <fgColor rgb="FFFFE0E0"/>
      </patternFill>
    </fill>
    <fill>
      <patternFill patternType="solid">
        <fgColor rgb="FFF7FAFD"/>
      </patternFill>
    </fill>
    <fill>
      <patternFill patternType="solid">
        <fgColor rgb="FFF2F2F2"/>
      </patternFill>
    </fill>
  </fills>
  <borders count="5">
    <border>
      <left/>
      <right/>
      <top/>
      <bottom/>
      <diagonal/>
    </border>
    <border>
      <left style="thin">
        <color rgb="FF595959"/>
      </left>
      <right style="thin">
        <color rgb="FF595959"/>
      </right>
      <top style="thin">
        <color rgb="FF595959"/>
      </top>
      <bottom style="thin">
        <color rgb="FF595959"/>
      </bottom>
      <diagonal/>
    </border>
    <border>
      <left/>
      <right/>
      <top style="thin">
        <color rgb="FF595959"/>
      </top>
      <bottom style="thin">
        <color rgb="FF595959"/>
      </bottom>
      <diagonal/>
    </border>
    <border>
      <left/>
      <right style="thin">
        <color rgb="FF595959"/>
      </right>
      <top style="thin">
        <color rgb="FF595959"/>
      </top>
      <bottom style="thin">
        <color rgb="FF595959"/>
      </bottom>
      <diagonal/>
    </border>
    <border>
      <left/>
      <right/>
      <top/>
      <bottom/>
      <diagonal/>
    </border>
  </borders>
  <cellStyleXfs count="1">
    <xf numFmtId="0" fontId="0" fillId="0" borderId="0"/>
  </cellStyleXfs>
  <cellXfs count="51">
    <xf numFmtId="0" fontId="0" fillId="0" borderId="0" xfId="0"/>
    <xf numFmtId="0" fontId="4" fillId="9"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0" borderId="0" xfId="0" applyAlignment="1">
      <alignment vertical="center" wrapText="1"/>
    </xf>
    <xf numFmtId="0" fontId="3" fillId="3"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13" fillId="9"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0" fillId="2" borderId="1" xfId="0" applyFill="1" applyBorder="1" applyAlignment="1">
      <alignment vertical="center" wrapText="1"/>
    </xf>
    <xf numFmtId="0" fontId="0" fillId="4" borderId="1" xfId="0" applyFill="1" applyBorder="1" applyAlignment="1">
      <alignment vertical="center" wrapText="1"/>
    </xf>
    <xf numFmtId="0" fontId="0" fillId="0" borderId="0" xfId="0" applyAlignment="1">
      <alignment vertical="center"/>
    </xf>
    <xf numFmtId="0" fontId="3" fillId="3" borderId="1" xfId="0" applyFont="1" applyFill="1" applyBorder="1" applyAlignment="1">
      <alignment horizontal="left" vertical="center"/>
    </xf>
    <xf numFmtId="0" fontId="4" fillId="4" borderId="1" xfId="0" applyFont="1" applyFill="1" applyBorder="1" applyAlignment="1">
      <alignment horizontal="left" vertical="center"/>
    </xf>
    <xf numFmtId="0" fontId="5" fillId="5" borderId="1" xfId="0" applyFont="1" applyFill="1" applyBorder="1" applyAlignment="1">
      <alignment horizontal="center" vertical="center"/>
    </xf>
    <xf numFmtId="0" fontId="3" fillId="9" borderId="1" xfId="0" applyFont="1" applyFill="1" applyBorder="1" applyAlignment="1">
      <alignment horizontal="center" vertical="center"/>
    </xf>
    <xf numFmtId="0" fontId="4" fillId="9" borderId="1" xfId="0" applyFont="1" applyFill="1" applyBorder="1" applyAlignment="1">
      <alignment horizontal="left" vertical="center"/>
    </xf>
    <xf numFmtId="0" fontId="10" fillId="6"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12" fillId="7" borderId="1" xfId="0" applyFont="1" applyFill="1" applyBorder="1" applyAlignment="1">
      <alignment horizontal="center" vertical="center"/>
    </xf>
    <xf numFmtId="0" fontId="13" fillId="9" borderId="1" xfId="0" applyFont="1" applyFill="1" applyBorder="1" applyAlignment="1">
      <alignment horizontal="center" vertical="center"/>
    </xf>
    <xf numFmtId="0" fontId="13" fillId="9" borderId="1" xfId="0" applyFont="1" applyFill="1" applyBorder="1" applyAlignment="1">
      <alignment horizontal="left" vertical="center"/>
    </xf>
    <xf numFmtId="0" fontId="13"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15" fillId="10" borderId="1" xfId="0" applyFont="1" applyFill="1" applyBorder="1" applyAlignment="1">
      <alignment horizontal="center" vertical="center"/>
    </xf>
    <xf numFmtId="0" fontId="3" fillId="3" borderId="1" xfId="0" applyFont="1" applyFill="1" applyBorder="1" applyAlignment="1">
      <alignment horizontal="left" vertical="center"/>
    </xf>
    <xf numFmtId="0" fontId="13" fillId="4" borderId="1" xfId="0" applyFont="1" applyFill="1" applyBorder="1" applyAlignment="1">
      <alignment horizontal="left" vertical="center"/>
    </xf>
    <xf numFmtId="0" fontId="0" fillId="4" borderId="4" xfId="0" applyFill="1" applyBorder="1"/>
    <xf numFmtId="0" fontId="3" fillId="4" borderId="4" xfId="0" applyFont="1" applyFill="1" applyBorder="1"/>
    <xf numFmtId="0" fontId="4" fillId="4" borderId="4" xfId="0" applyFont="1" applyFill="1" applyBorder="1"/>
    <xf numFmtId="0" fontId="2" fillId="2" borderId="1" xfId="0" applyFont="1" applyFill="1" applyBorder="1" applyAlignment="1">
      <alignment horizontal="left" vertical="center"/>
    </xf>
    <xf numFmtId="0" fontId="0" fillId="0" borderId="2" xfId="0" applyBorder="1"/>
    <xf numFmtId="0" fontId="0" fillId="0" borderId="3" xfId="0" applyBorder="1"/>
    <xf numFmtId="0" fontId="9" fillId="8" borderId="1" xfId="0" applyFont="1" applyFill="1" applyBorder="1" applyAlignment="1">
      <alignment horizontal="center" vertical="center"/>
    </xf>
    <xf numFmtId="0" fontId="9" fillId="8" borderId="1"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13" fillId="4" borderId="1" xfId="0" applyFont="1" applyFill="1" applyBorder="1" applyAlignment="1">
      <alignment horizontal="left" vertical="center"/>
    </xf>
    <xf numFmtId="0" fontId="5" fillId="5"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7" fillId="6"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14" fillId="10"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2" fillId="5" borderId="1" xfId="0" applyFont="1" applyFill="1" applyBorder="1" applyAlignment="1">
      <alignment horizontal="left" vertical="center"/>
    </xf>
    <xf numFmtId="0" fontId="16" fillId="2" borderId="0" xfId="0" applyFont="1" applyFill="1" applyAlignment="1">
      <alignment horizontal="center" vertical="center"/>
    </xf>
    <xf numFmtId="0" fontId="17" fillId="10"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showGridLines="0" workbookViewId="0">
      <pane xSplit="1" ySplit="11" topLeftCell="B12" activePane="bottomRight" state="frozen"/>
      <selection pane="topRight"/>
      <selection pane="bottomLeft"/>
      <selection pane="bottomRight"/>
    </sheetView>
  </sheetViews>
  <sheetFormatPr defaultRowHeight="15" x14ac:dyDescent="0.25"/>
  <cols>
    <col min="1" max="1" width="2" customWidth="1"/>
    <col min="2" max="2" width="9" customWidth="1"/>
    <col min="3" max="3" width="14" customWidth="1"/>
    <col min="4" max="4" width="32" customWidth="1"/>
    <col min="5" max="5" width="26" customWidth="1"/>
    <col min="6" max="8" width="13" customWidth="1"/>
    <col min="9" max="9" width="30" customWidth="1"/>
    <col min="10" max="10" width="26" customWidth="1"/>
    <col min="11" max="11" width="18" customWidth="1"/>
    <col min="12" max="14" width="13" customWidth="1"/>
    <col min="15" max="15" width="26" customWidth="1"/>
    <col min="16" max="16" width="2" customWidth="1"/>
  </cols>
  <sheetData>
    <row r="1" spans="1:19" ht="6" customHeight="1" x14ac:dyDescent="0.25">
      <c r="A1" s="10"/>
      <c r="B1" s="10"/>
      <c r="C1" s="10"/>
      <c r="D1" s="3"/>
      <c r="E1" s="3"/>
      <c r="F1" s="10"/>
      <c r="G1" s="10"/>
      <c r="H1" s="10"/>
      <c r="I1" s="3"/>
      <c r="J1" s="3"/>
      <c r="K1" s="10"/>
      <c r="L1" s="10"/>
      <c r="M1" s="10"/>
      <c r="N1" s="10"/>
      <c r="O1" s="3"/>
    </row>
    <row r="2" spans="1:19" ht="33.950000000000003" customHeight="1" x14ac:dyDescent="0.25">
      <c r="A2" s="10"/>
      <c r="B2" s="37" t="s">
        <v>0</v>
      </c>
      <c r="C2" s="38"/>
      <c r="D2" s="38"/>
      <c r="E2" s="38"/>
      <c r="F2" s="38"/>
      <c r="G2" s="38"/>
      <c r="H2" s="38"/>
      <c r="I2" s="38"/>
      <c r="J2" s="38"/>
      <c r="K2" s="38"/>
      <c r="L2" s="38"/>
      <c r="M2" s="38"/>
      <c r="N2" s="38"/>
      <c r="O2" s="38"/>
    </row>
    <row r="3" spans="1:19" ht="6" customHeight="1" x14ac:dyDescent="0.25">
      <c r="A3" s="10"/>
      <c r="B3" s="10"/>
      <c r="C3" s="10"/>
      <c r="D3" s="3"/>
      <c r="E3" s="3"/>
      <c r="F3" s="10"/>
      <c r="G3" s="10"/>
      <c r="H3" s="10"/>
      <c r="I3" s="3"/>
      <c r="J3" s="3"/>
      <c r="K3" s="10"/>
      <c r="L3" s="10"/>
      <c r="M3" s="10"/>
      <c r="N3" s="10"/>
      <c r="O3" s="3"/>
    </row>
    <row r="4" spans="1:19" ht="20.100000000000001" customHeight="1" x14ac:dyDescent="0.25">
      <c r="A4" s="10"/>
      <c r="B4" s="32" t="s">
        <v>1</v>
      </c>
      <c r="C4" s="33"/>
      <c r="D4" s="33"/>
      <c r="E4" s="33"/>
      <c r="F4" s="33"/>
      <c r="G4" s="33"/>
      <c r="H4" s="33"/>
      <c r="I4" s="33"/>
      <c r="J4" s="33"/>
      <c r="K4" s="33"/>
      <c r="L4" s="33"/>
      <c r="M4" s="33"/>
      <c r="N4" s="33"/>
      <c r="O4" s="34"/>
    </row>
    <row r="5" spans="1:19" ht="20.100000000000001" customHeight="1" x14ac:dyDescent="0.25">
      <c r="A5" s="10"/>
      <c r="B5" s="11" t="s">
        <v>2</v>
      </c>
      <c r="C5" s="12"/>
      <c r="F5" s="11" t="s">
        <v>3</v>
      </c>
      <c r="G5" s="12"/>
      <c r="I5" s="4" t="s">
        <v>4</v>
      </c>
      <c r="J5" s="2" t="s">
        <v>5</v>
      </c>
      <c r="K5" s="11" t="s">
        <v>6</v>
      </c>
      <c r="L5" s="12" t="s">
        <v>7</v>
      </c>
      <c r="M5" s="27" t="s">
        <v>8</v>
      </c>
      <c r="N5" s="39"/>
      <c r="O5" s="34"/>
      <c r="P5" s="29"/>
      <c r="Q5" s="29"/>
      <c r="R5" s="29"/>
      <c r="S5" s="29"/>
    </row>
    <row r="6" spans="1:19" ht="6" customHeight="1" x14ac:dyDescent="0.25">
      <c r="A6" s="10"/>
      <c r="B6" s="10"/>
      <c r="C6" s="10"/>
      <c r="D6" s="3"/>
      <c r="E6" s="3"/>
      <c r="F6" s="10"/>
      <c r="G6" s="10"/>
      <c r="H6" s="10"/>
      <c r="I6" s="3"/>
      <c r="J6" s="3"/>
      <c r="K6" s="10"/>
      <c r="L6" s="10"/>
      <c r="M6" s="10"/>
      <c r="N6" s="10"/>
      <c r="O6" s="3"/>
    </row>
    <row r="7" spans="1:19" ht="20.100000000000001" customHeight="1" x14ac:dyDescent="0.25">
      <c r="A7" s="10"/>
      <c r="B7" s="32" t="s">
        <v>9</v>
      </c>
      <c r="C7" s="33"/>
      <c r="D7" s="33"/>
      <c r="E7" s="33"/>
      <c r="F7" s="33"/>
      <c r="G7" s="33"/>
      <c r="H7" s="33"/>
      <c r="I7" s="33"/>
      <c r="J7" s="33"/>
      <c r="K7" s="33"/>
      <c r="L7" s="33"/>
      <c r="M7" s="33"/>
      <c r="N7" s="33"/>
      <c r="O7" s="34"/>
    </row>
    <row r="8" spans="1:19" ht="18" customHeight="1" x14ac:dyDescent="0.25">
      <c r="A8" s="10"/>
      <c r="B8" s="40" t="s">
        <v>10</v>
      </c>
      <c r="C8" s="34"/>
      <c r="D8" s="45" t="s">
        <v>11</v>
      </c>
      <c r="E8" s="34"/>
      <c r="F8" s="40" t="s">
        <v>12</v>
      </c>
      <c r="G8" s="34"/>
      <c r="H8" s="40" t="s">
        <v>13</v>
      </c>
      <c r="I8" s="34"/>
      <c r="J8" s="45" t="s">
        <v>14</v>
      </c>
      <c r="K8" s="34"/>
      <c r="L8" s="40" t="s">
        <v>15</v>
      </c>
      <c r="M8" s="34"/>
      <c r="N8" s="40" t="s">
        <v>16</v>
      </c>
      <c r="O8" s="34"/>
    </row>
    <row r="9" spans="1:19" ht="32.1" customHeight="1" x14ac:dyDescent="0.25">
      <c r="A9" s="10"/>
      <c r="B9" s="41">
        <f>COUNTA(D12:D61)</f>
        <v>6</v>
      </c>
      <c r="C9" s="34"/>
      <c r="D9" s="42">
        <f>COUNTIF(N12:N61,"OPEN")</f>
        <v>5</v>
      </c>
      <c r="E9" s="34"/>
      <c r="F9" s="43">
        <f>COUNTIF(N12:N61,"CLOSED")</f>
        <v>1</v>
      </c>
      <c r="G9" s="34"/>
      <c r="H9" s="35">
        <f>COUNTIF(N12:N61,"ESCALATED")</f>
        <v>0</v>
      </c>
      <c r="I9" s="34"/>
      <c r="J9" s="36">
        <f>COUNTIF(H12:H61,"HIGH")</f>
        <v>3</v>
      </c>
      <c r="K9" s="34"/>
      <c r="L9" s="44">
        <f>COUNTIF(H12:H61,"MEDIUM")</f>
        <v>2</v>
      </c>
      <c r="M9" s="34"/>
      <c r="N9" s="43">
        <f>COUNTIF(H12:H61,"LOW")</f>
        <v>1</v>
      </c>
      <c r="O9" s="34"/>
    </row>
    <row r="10" spans="1:19" ht="6" customHeight="1" x14ac:dyDescent="0.25">
      <c r="A10" s="10"/>
      <c r="B10" s="10"/>
      <c r="C10" s="10"/>
      <c r="D10" s="3"/>
      <c r="E10" s="3"/>
      <c r="F10" s="10"/>
      <c r="G10" s="10"/>
      <c r="H10" s="10"/>
      <c r="I10" s="3"/>
      <c r="J10" s="3"/>
      <c r="K10" s="10"/>
      <c r="L10" s="10"/>
      <c r="M10" s="10"/>
      <c r="N10" s="10"/>
      <c r="O10" s="3"/>
    </row>
    <row r="11" spans="1:19" ht="20.100000000000001" customHeight="1" x14ac:dyDescent="0.25">
      <c r="A11" s="10"/>
      <c r="B11" s="13" t="s">
        <v>17</v>
      </c>
      <c r="C11" s="13" t="s">
        <v>18</v>
      </c>
      <c r="D11" s="5" t="s">
        <v>19</v>
      </c>
      <c r="E11" s="5" t="s">
        <v>20</v>
      </c>
      <c r="F11" s="13" t="s">
        <v>21</v>
      </c>
      <c r="G11" s="13" t="s">
        <v>22</v>
      </c>
      <c r="H11" s="13" t="s">
        <v>23</v>
      </c>
      <c r="I11" s="5" t="s">
        <v>24</v>
      </c>
      <c r="J11" s="5" t="s">
        <v>25</v>
      </c>
      <c r="K11" s="13" t="s">
        <v>26</v>
      </c>
      <c r="L11" s="13" t="s">
        <v>27</v>
      </c>
      <c r="M11" s="13" t="s">
        <v>28</v>
      </c>
      <c r="N11" s="13" t="s">
        <v>29</v>
      </c>
      <c r="O11" s="5" t="s">
        <v>30</v>
      </c>
    </row>
    <row r="12" spans="1:19" ht="21.95" customHeight="1" x14ac:dyDescent="0.25">
      <c r="A12" s="10"/>
      <c r="B12" s="14" t="s">
        <v>31</v>
      </c>
      <c r="C12" s="15" t="s">
        <v>32</v>
      </c>
      <c r="D12" s="1" t="s">
        <v>33</v>
      </c>
      <c r="E12" s="1" t="s">
        <v>34</v>
      </c>
      <c r="F12" s="16" t="s">
        <v>35</v>
      </c>
      <c r="G12" s="17" t="s">
        <v>36</v>
      </c>
      <c r="H12" s="17" t="s">
        <v>36</v>
      </c>
      <c r="I12" s="1" t="s">
        <v>37</v>
      </c>
      <c r="J12" s="1" t="s">
        <v>38</v>
      </c>
      <c r="K12" s="15" t="s">
        <v>39</v>
      </c>
      <c r="L12" s="18" t="s">
        <v>40</v>
      </c>
      <c r="M12" s="18" t="s">
        <v>41</v>
      </c>
      <c r="N12" s="16" t="s">
        <v>11</v>
      </c>
      <c r="O12" s="1" t="s">
        <v>42</v>
      </c>
    </row>
    <row r="13" spans="1:19" ht="21.95" customHeight="1" x14ac:dyDescent="0.25">
      <c r="A13" s="10"/>
      <c r="B13" s="19" t="s">
        <v>43</v>
      </c>
      <c r="C13" s="12" t="s">
        <v>44</v>
      </c>
      <c r="D13" s="2" t="s">
        <v>45</v>
      </c>
      <c r="E13" s="2" t="s">
        <v>46</v>
      </c>
      <c r="F13" s="16" t="s">
        <v>35</v>
      </c>
      <c r="G13" s="17" t="s">
        <v>36</v>
      </c>
      <c r="H13" s="17" t="s">
        <v>36</v>
      </c>
      <c r="I13" s="2" t="s">
        <v>47</v>
      </c>
      <c r="J13" s="2" t="s">
        <v>48</v>
      </c>
      <c r="K13" s="12" t="s">
        <v>49</v>
      </c>
      <c r="L13" s="20" t="s">
        <v>40</v>
      </c>
      <c r="M13" s="20" t="s">
        <v>50</v>
      </c>
      <c r="N13" s="16" t="s">
        <v>11</v>
      </c>
      <c r="O13" s="2" t="s">
        <v>51</v>
      </c>
    </row>
    <row r="14" spans="1:19" ht="21.95" customHeight="1" x14ac:dyDescent="0.25">
      <c r="A14" s="10"/>
      <c r="B14" s="14" t="s">
        <v>52</v>
      </c>
      <c r="C14" s="15" t="s">
        <v>44</v>
      </c>
      <c r="D14" s="1" t="s">
        <v>53</v>
      </c>
      <c r="E14" s="1" t="s">
        <v>54</v>
      </c>
      <c r="F14" s="21" t="s">
        <v>55</v>
      </c>
      <c r="G14" s="17" t="s">
        <v>36</v>
      </c>
      <c r="H14" s="16" t="s">
        <v>35</v>
      </c>
      <c r="I14" s="1" t="s">
        <v>56</v>
      </c>
      <c r="J14" s="1" t="s">
        <v>57</v>
      </c>
      <c r="K14" s="15" t="s">
        <v>58</v>
      </c>
      <c r="L14" s="18" t="s">
        <v>59</v>
      </c>
      <c r="M14" s="18" t="s">
        <v>60</v>
      </c>
      <c r="N14" s="16" t="s">
        <v>11</v>
      </c>
      <c r="O14" s="1"/>
    </row>
    <row r="15" spans="1:19" ht="21.95" customHeight="1" x14ac:dyDescent="0.25">
      <c r="A15" s="10"/>
      <c r="B15" s="19" t="s">
        <v>61</v>
      </c>
      <c r="C15" s="12" t="s">
        <v>62</v>
      </c>
      <c r="D15" s="2" t="s">
        <v>63</v>
      </c>
      <c r="E15" s="2" t="s">
        <v>64</v>
      </c>
      <c r="F15" s="16" t="s">
        <v>35</v>
      </c>
      <c r="G15" s="16" t="s">
        <v>35</v>
      </c>
      <c r="H15" s="16" t="s">
        <v>35</v>
      </c>
      <c r="I15" s="2" t="s">
        <v>65</v>
      </c>
      <c r="J15" s="2" t="s">
        <v>66</v>
      </c>
      <c r="K15" s="12" t="s">
        <v>39</v>
      </c>
      <c r="L15" s="20" t="s">
        <v>67</v>
      </c>
      <c r="M15" s="20" t="s">
        <v>68</v>
      </c>
      <c r="N15" s="21" t="s">
        <v>12</v>
      </c>
      <c r="O15" s="2" t="s">
        <v>69</v>
      </c>
    </row>
    <row r="16" spans="1:19" ht="21.95" customHeight="1" x14ac:dyDescent="0.25">
      <c r="A16" s="10"/>
      <c r="B16" s="14" t="s">
        <v>70</v>
      </c>
      <c r="C16" s="15" t="s">
        <v>71</v>
      </c>
      <c r="D16" s="1" t="s">
        <v>72</v>
      </c>
      <c r="E16" s="1" t="s">
        <v>73</v>
      </c>
      <c r="F16" s="21" t="s">
        <v>55</v>
      </c>
      <c r="G16" s="16" t="s">
        <v>35</v>
      </c>
      <c r="H16" s="21" t="s">
        <v>55</v>
      </c>
      <c r="I16" s="1" t="s">
        <v>74</v>
      </c>
      <c r="J16" s="1" t="s">
        <v>75</v>
      </c>
      <c r="K16" s="15" t="s">
        <v>3</v>
      </c>
      <c r="L16" s="18" t="s">
        <v>76</v>
      </c>
      <c r="M16" s="18" t="s">
        <v>77</v>
      </c>
      <c r="N16" s="16" t="s">
        <v>11</v>
      </c>
      <c r="O16" s="1"/>
    </row>
    <row r="17" spans="1:15" ht="21.95" customHeight="1" x14ac:dyDescent="0.25">
      <c r="A17" s="10"/>
      <c r="B17" s="19" t="s">
        <v>78</v>
      </c>
      <c r="C17" s="12" t="s">
        <v>79</v>
      </c>
      <c r="D17" s="2" t="s">
        <v>80</v>
      </c>
      <c r="E17" s="2" t="s">
        <v>81</v>
      </c>
      <c r="F17" s="16" t="s">
        <v>35</v>
      </c>
      <c r="G17" s="17" t="s">
        <v>36</v>
      </c>
      <c r="H17" s="17" t="s">
        <v>36</v>
      </c>
      <c r="I17" s="2" t="s">
        <v>82</v>
      </c>
      <c r="J17" s="2" t="s">
        <v>83</v>
      </c>
      <c r="K17" s="12" t="s">
        <v>39</v>
      </c>
      <c r="L17" s="20" t="s">
        <v>67</v>
      </c>
      <c r="M17" s="20" t="s">
        <v>84</v>
      </c>
      <c r="N17" s="16" t="s">
        <v>11</v>
      </c>
      <c r="O17" s="2"/>
    </row>
    <row r="18" spans="1:15" ht="21.95" customHeight="1" x14ac:dyDescent="0.25">
      <c r="A18" s="10"/>
      <c r="B18" s="22"/>
      <c r="C18" s="23"/>
      <c r="D18" s="6"/>
      <c r="E18" s="6"/>
      <c r="F18" s="22"/>
      <c r="G18" s="22"/>
      <c r="H18" s="22"/>
      <c r="I18" s="6"/>
      <c r="J18" s="6"/>
      <c r="K18" s="22"/>
      <c r="L18" s="22"/>
      <c r="M18" s="22"/>
      <c r="N18" s="22"/>
      <c r="O18" s="6"/>
    </row>
    <row r="19" spans="1:15" ht="21.95" customHeight="1" x14ac:dyDescent="0.25">
      <c r="A19" s="10"/>
      <c r="B19" s="24"/>
      <c r="C19" s="25"/>
      <c r="D19" s="7"/>
      <c r="E19" s="7"/>
      <c r="F19" s="24"/>
      <c r="G19" s="24"/>
      <c r="H19" s="24"/>
      <c r="I19" s="7"/>
      <c r="J19" s="7"/>
      <c r="K19" s="24"/>
      <c r="L19" s="24"/>
      <c r="M19" s="24"/>
      <c r="N19" s="24"/>
      <c r="O19" s="7"/>
    </row>
    <row r="20" spans="1:15" ht="21.95" customHeight="1" x14ac:dyDescent="0.25">
      <c r="A20" s="10"/>
      <c r="B20" s="22"/>
      <c r="C20" s="23"/>
      <c r="D20" s="6"/>
      <c r="E20" s="6"/>
      <c r="F20" s="22"/>
      <c r="G20" s="22"/>
      <c r="H20" s="22"/>
      <c r="I20" s="6"/>
      <c r="J20" s="6"/>
      <c r="K20" s="22"/>
      <c r="L20" s="22"/>
      <c r="M20" s="22"/>
      <c r="N20" s="22"/>
      <c r="O20" s="6"/>
    </row>
    <row r="21" spans="1:15" ht="21.95" customHeight="1" x14ac:dyDescent="0.25">
      <c r="A21" s="10"/>
      <c r="B21" s="24"/>
      <c r="C21" s="25"/>
      <c r="D21" s="7"/>
      <c r="E21" s="7"/>
      <c r="F21" s="24"/>
      <c r="G21" s="24"/>
      <c r="H21" s="24"/>
      <c r="I21" s="7"/>
      <c r="J21" s="7"/>
      <c r="K21" s="24"/>
      <c r="L21" s="24"/>
      <c r="M21" s="24"/>
      <c r="N21" s="24"/>
      <c r="O21" s="7"/>
    </row>
    <row r="22" spans="1:15" ht="21.95" customHeight="1" x14ac:dyDescent="0.25">
      <c r="A22" s="10"/>
      <c r="B22" s="22"/>
      <c r="C22" s="23"/>
      <c r="D22" s="6"/>
      <c r="E22" s="6"/>
      <c r="F22" s="22"/>
      <c r="G22" s="22"/>
      <c r="H22" s="22"/>
      <c r="I22" s="6"/>
      <c r="J22" s="6"/>
      <c r="K22" s="22"/>
      <c r="L22" s="22"/>
      <c r="M22" s="22"/>
      <c r="N22" s="22"/>
      <c r="O22" s="6"/>
    </row>
    <row r="23" spans="1:15" ht="21.95" customHeight="1" x14ac:dyDescent="0.25">
      <c r="A23" s="10"/>
      <c r="B23" s="24"/>
      <c r="C23" s="25"/>
      <c r="D23" s="7"/>
      <c r="E23" s="7"/>
      <c r="F23" s="24"/>
      <c r="G23" s="24"/>
      <c r="H23" s="24"/>
      <c r="I23" s="7"/>
      <c r="J23" s="7"/>
      <c r="K23" s="24"/>
      <c r="L23" s="24"/>
      <c r="M23" s="24"/>
      <c r="N23" s="24"/>
      <c r="O23" s="7"/>
    </row>
    <row r="24" spans="1:15" ht="21.95" customHeight="1" x14ac:dyDescent="0.25">
      <c r="A24" s="10"/>
      <c r="B24" s="22"/>
      <c r="C24" s="23"/>
      <c r="D24" s="6"/>
      <c r="E24" s="6"/>
      <c r="F24" s="22"/>
      <c r="G24" s="22"/>
      <c r="H24" s="22"/>
      <c r="I24" s="6"/>
      <c r="J24" s="6"/>
      <c r="K24" s="22"/>
      <c r="L24" s="22"/>
      <c r="M24" s="22"/>
      <c r="N24" s="22"/>
      <c r="O24" s="6"/>
    </row>
    <row r="25" spans="1:15" ht="21.95" customHeight="1" x14ac:dyDescent="0.25">
      <c r="A25" s="10"/>
      <c r="B25" s="24"/>
      <c r="C25" s="25"/>
      <c r="D25" s="7"/>
      <c r="E25" s="7"/>
      <c r="F25" s="24"/>
      <c r="G25" s="24"/>
      <c r="H25" s="24"/>
      <c r="I25" s="7"/>
      <c r="J25" s="7"/>
      <c r="K25" s="24"/>
      <c r="L25" s="24"/>
      <c r="M25" s="24"/>
      <c r="N25" s="24"/>
      <c r="O25" s="7"/>
    </row>
    <row r="26" spans="1:15" ht="21.95" customHeight="1" x14ac:dyDescent="0.25">
      <c r="A26" s="10"/>
      <c r="B26" s="22"/>
      <c r="C26" s="23"/>
      <c r="D26" s="6"/>
      <c r="E26" s="6"/>
      <c r="F26" s="22"/>
      <c r="G26" s="22"/>
      <c r="H26" s="22"/>
      <c r="I26" s="6"/>
      <c r="J26" s="6"/>
      <c r="K26" s="22"/>
      <c r="L26" s="22"/>
      <c r="M26" s="22"/>
      <c r="N26" s="22"/>
      <c r="O26" s="6"/>
    </row>
    <row r="27" spans="1:15" ht="21.95" customHeight="1" x14ac:dyDescent="0.25">
      <c r="A27" s="10"/>
      <c r="B27" s="24"/>
      <c r="C27" s="25"/>
      <c r="D27" s="7"/>
      <c r="E27" s="7"/>
      <c r="F27" s="24"/>
      <c r="G27" s="24"/>
      <c r="H27" s="24"/>
      <c r="I27" s="7"/>
      <c r="J27" s="7"/>
      <c r="K27" s="24"/>
      <c r="L27" s="24"/>
      <c r="M27" s="24"/>
      <c r="N27" s="24"/>
      <c r="O27" s="7"/>
    </row>
    <row r="28" spans="1:15" ht="21.95" customHeight="1" x14ac:dyDescent="0.25">
      <c r="A28" s="10"/>
      <c r="B28" s="22"/>
      <c r="C28" s="23"/>
      <c r="D28" s="6"/>
      <c r="E28" s="6"/>
      <c r="F28" s="22"/>
      <c r="G28" s="22"/>
      <c r="H28" s="22"/>
      <c r="I28" s="6"/>
      <c r="J28" s="6"/>
      <c r="K28" s="22"/>
      <c r="L28" s="22"/>
      <c r="M28" s="22"/>
      <c r="N28" s="22"/>
      <c r="O28" s="6"/>
    </row>
    <row r="29" spans="1:15" ht="21.95" customHeight="1" x14ac:dyDescent="0.25">
      <c r="A29" s="10"/>
      <c r="B29" s="24"/>
      <c r="C29" s="25"/>
      <c r="D29" s="7"/>
      <c r="E29" s="7"/>
      <c r="F29" s="24"/>
      <c r="G29" s="24"/>
      <c r="H29" s="24"/>
      <c r="I29" s="7"/>
      <c r="J29" s="7"/>
      <c r="K29" s="24"/>
      <c r="L29" s="24"/>
      <c r="M29" s="24"/>
      <c r="N29" s="24"/>
      <c r="O29" s="7"/>
    </row>
    <row r="30" spans="1:15" ht="21.95" customHeight="1" x14ac:dyDescent="0.25">
      <c r="A30" s="10"/>
      <c r="B30" s="22"/>
      <c r="C30" s="23"/>
      <c r="D30" s="6"/>
      <c r="E30" s="6"/>
      <c r="F30" s="22"/>
      <c r="G30" s="22"/>
      <c r="H30" s="22"/>
      <c r="I30" s="6"/>
      <c r="J30" s="6"/>
      <c r="K30" s="22"/>
      <c r="L30" s="22"/>
      <c r="M30" s="22"/>
      <c r="N30" s="22"/>
      <c r="O30" s="6"/>
    </row>
    <row r="31" spans="1:15" ht="21.95" customHeight="1" x14ac:dyDescent="0.25">
      <c r="A31" s="10"/>
      <c r="B31" s="24"/>
      <c r="C31" s="25"/>
      <c r="D31" s="7"/>
      <c r="E31" s="7"/>
      <c r="F31" s="24"/>
      <c r="G31" s="24"/>
      <c r="H31" s="24"/>
      <c r="I31" s="7"/>
      <c r="J31" s="7"/>
      <c r="K31" s="24"/>
      <c r="L31" s="24"/>
      <c r="M31" s="24"/>
      <c r="N31" s="24"/>
      <c r="O31" s="7"/>
    </row>
    <row r="32" spans="1:15" ht="21.95" customHeight="1" x14ac:dyDescent="0.25">
      <c r="A32" s="10"/>
      <c r="B32" s="22"/>
      <c r="C32" s="23"/>
      <c r="D32" s="6"/>
      <c r="E32" s="6"/>
      <c r="F32" s="22"/>
      <c r="G32" s="22"/>
      <c r="H32" s="22"/>
      <c r="I32" s="6"/>
      <c r="J32" s="6"/>
      <c r="K32" s="22"/>
      <c r="L32" s="22"/>
      <c r="M32" s="22"/>
      <c r="N32" s="22"/>
      <c r="O32" s="6"/>
    </row>
    <row r="33" spans="1:15" ht="21.95" customHeight="1" x14ac:dyDescent="0.25">
      <c r="A33" s="10"/>
      <c r="B33" s="24"/>
      <c r="C33" s="25"/>
      <c r="D33" s="7"/>
      <c r="E33" s="7"/>
      <c r="F33" s="24"/>
      <c r="G33" s="24"/>
      <c r="H33" s="24"/>
      <c r="I33" s="7"/>
      <c r="J33" s="7"/>
      <c r="K33" s="24"/>
      <c r="L33" s="24"/>
      <c r="M33" s="24"/>
      <c r="N33" s="24"/>
      <c r="O33" s="7"/>
    </row>
    <row r="34" spans="1:15" ht="21.95" customHeight="1" x14ac:dyDescent="0.25">
      <c r="A34" s="10"/>
      <c r="B34" s="22"/>
      <c r="C34" s="23"/>
      <c r="D34" s="6"/>
      <c r="E34" s="6"/>
      <c r="F34" s="22"/>
      <c r="G34" s="22"/>
      <c r="H34" s="22"/>
      <c r="I34" s="6"/>
      <c r="J34" s="6"/>
      <c r="K34" s="22"/>
      <c r="L34" s="22"/>
      <c r="M34" s="22"/>
      <c r="N34" s="22"/>
      <c r="O34" s="6"/>
    </row>
    <row r="35" spans="1:15" ht="21.95" customHeight="1" x14ac:dyDescent="0.25">
      <c r="A35" s="10"/>
      <c r="B35" s="24"/>
      <c r="C35" s="25"/>
      <c r="D35" s="7"/>
      <c r="E35" s="7"/>
      <c r="F35" s="24"/>
      <c r="G35" s="24"/>
      <c r="H35" s="24"/>
      <c r="I35" s="7"/>
      <c r="J35" s="7"/>
      <c r="K35" s="24"/>
      <c r="L35" s="24"/>
      <c r="M35" s="24"/>
      <c r="N35" s="24"/>
      <c r="O35" s="7"/>
    </row>
    <row r="36" spans="1:15" ht="21.95" customHeight="1" x14ac:dyDescent="0.25">
      <c r="A36" s="10"/>
      <c r="B36" s="22"/>
      <c r="C36" s="23"/>
      <c r="D36" s="6"/>
      <c r="E36" s="6"/>
      <c r="F36" s="22"/>
      <c r="G36" s="22"/>
      <c r="H36" s="22"/>
      <c r="I36" s="6"/>
      <c r="J36" s="6"/>
      <c r="K36" s="22"/>
      <c r="L36" s="22"/>
      <c r="M36" s="22"/>
      <c r="N36" s="22"/>
      <c r="O36" s="6"/>
    </row>
    <row r="37" spans="1:15" ht="21.95" customHeight="1" x14ac:dyDescent="0.25">
      <c r="A37" s="10"/>
      <c r="B37" s="24"/>
      <c r="C37" s="25"/>
      <c r="D37" s="7"/>
      <c r="E37" s="7"/>
      <c r="F37" s="24"/>
      <c r="G37" s="24"/>
      <c r="H37" s="24"/>
      <c r="I37" s="7"/>
      <c r="J37" s="7"/>
      <c r="K37" s="24"/>
      <c r="L37" s="24"/>
      <c r="M37" s="24"/>
      <c r="N37" s="24"/>
      <c r="O37" s="7"/>
    </row>
    <row r="38" spans="1:15" ht="21.95" customHeight="1" x14ac:dyDescent="0.25">
      <c r="A38" s="10"/>
      <c r="B38" s="22"/>
      <c r="C38" s="23"/>
      <c r="D38" s="6"/>
      <c r="E38" s="6"/>
      <c r="F38" s="22"/>
      <c r="G38" s="22"/>
      <c r="H38" s="22"/>
      <c r="I38" s="6"/>
      <c r="J38" s="6"/>
      <c r="K38" s="22"/>
      <c r="L38" s="22"/>
      <c r="M38" s="22"/>
      <c r="N38" s="22"/>
      <c r="O38" s="6"/>
    </row>
    <row r="39" spans="1:15" ht="21.95" customHeight="1" x14ac:dyDescent="0.25">
      <c r="A39" s="10"/>
      <c r="B39" s="24"/>
      <c r="C39" s="25"/>
      <c r="D39" s="7"/>
      <c r="E39" s="7"/>
      <c r="F39" s="24"/>
      <c r="G39" s="24"/>
      <c r="H39" s="24"/>
      <c r="I39" s="7"/>
      <c r="J39" s="7"/>
      <c r="K39" s="24"/>
      <c r="L39" s="24"/>
      <c r="M39" s="24"/>
      <c r="N39" s="24"/>
      <c r="O39" s="7"/>
    </row>
    <row r="40" spans="1:15" ht="21.95" customHeight="1" x14ac:dyDescent="0.25">
      <c r="A40" s="10"/>
      <c r="B40" s="22"/>
      <c r="C40" s="23"/>
      <c r="D40" s="6"/>
      <c r="E40" s="6"/>
      <c r="F40" s="22"/>
      <c r="G40" s="22"/>
      <c r="H40" s="22"/>
      <c r="I40" s="6"/>
      <c r="J40" s="6"/>
      <c r="K40" s="22"/>
      <c r="L40" s="22"/>
      <c r="M40" s="22"/>
      <c r="N40" s="22"/>
      <c r="O40" s="6"/>
    </row>
    <row r="41" spans="1:15" ht="21.95" customHeight="1" x14ac:dyDescent="0.25">
      <c r="A41" s="10"/>
      <c r="B41" s="24"/>
      <c r="C41" s="25"/>
      <c r="D41" s="7"/>
      <c r="E41" s="7"/>
      <c r="F41" s="24"/>
      <c r="G41" s="24"/>
      <c r="H41" s="24"/>
      <c r="I41" s="7"/>
      <c r="J41" s="7"/>
      <c r="K41" s="24"/>
      <c r="L41" s="24"/>
      <c r="M41" s="24"/>
      <c r="N41" s="24"/>
      <c r="O41" s="7"/>
    </row>
    <row r="42" spans="1:15" ht="21.95" customHeight="1" x14ac:dyDescent="0.25">
      <c r="A42" s="10"/>
      <c r="B42" s="22"/>
      <c r="C42" s="23"/>
      <c r="D42" s="6"/>
      <c r="E42" s="6"/>
      <c r="F42" s="22"/>
      <c r="G42" s="22"/>
      <c r="H42" s="22"/>
      <c r="I42" s="6"/>
      <c r="J42" s="6"/>
      <c r="K42" s="22"/>
      <c r="L42" s="22"/>
      <c r="M42" s="22"/>
      <c r="N42" s="22"/>
      <c r="O42" s="6"/>
    </row>
    <row r="43" spans="1:15" ht="21.95" customHeight="1" x14ac:dyDescent="0.25">
      <c r="A43" s="10"/>
      <c r="B43" s="24"/>
      <c r="C43" s="25"/>
      <c r="D43" s="7"/>
      <c r="E43" s="7"/>
      <c r="F43" s="24"/>
      <c r="G43" s="24"/>
      <c r="H43" s="24"/>
      <c r="I43" s="7"/>
      <c r="J43" s="7"/>
      <c r="K43" s="24"/>
      <c r="L43" s="24"/>
      <c r="M43" s="24"/>
      <c r="N43" s="24"/>
      <c r="O43" s="7"/>
    </row>
    <row r="44" spans="1:15" ht="21.95" customHeight="1" x14ac:dyDescent="0.25">
      <c r="A44" s="10"/>
      <c r="B44" s="22"/>
      <c r="C44" s="23"/>
      <c r="D44" s="6"/>
      <c r="E44" s="6"/>
      <c r="F44" s="22"/>
      <c r="G44" s="22"/>
      <c r="H44" s="22"/>
      <c r="I44" s="6"/>
      <c r="J44" s="6"/>
      <c r="K44" s="22"/>
      <c r="L44" s="22"/>
      <c r="M44" s="22"/>
      <c r="N44" s="22"/>
      <c r="O44" s="6"/>
    </row>
    <row r="45" spans="1:15" ht="21.95" customHeight="1" x14ac:dyDescent="0.25">
      <c r="A45" s="10"/>
      <c r="B45" s="24"/>
      <c r="C45" s="25"/>
      <c r="D45" s="7"/>
      <c r="E45" s="7"/>
      <c r="F45" s="24"/>
      <c r="G45" s="24"/>
      <c r="H45" s="24"/>
      <c r="I45" s="7"/>
      <c r="J45" s="7"/>
      <c r="K45" s="24"/>
      <c r="L45" s="24"/>
      <c r="M45" s="24"/>
      <c r="N45" s="24"/>
      <c r="O45" s="7"/>
    </row>
    <row r="46" spans="1:15" ht="21.95" customHeight="1" x14ac:dyDescent="0.25">
      <c r="A46" s="10"/>
      <c r="B46" s="22"/>
      <c r="C46" s="23"/>
      <c r="D46" s="6"/>
      <c r="E46" s="6"/>
      <c r="F46" s="22"/>
      <c r="G46" s="22"/>
      <c r="H46" s="22"/>
      <c r="I46" s="6"/>
      <c r="J46" s="6"/>
      <c r="K46" s="22"/>
      <c r="L46" s="22"/>
      <c r="M46" s="22"/>
      <c r="N46" s="22"/>
      <c r="O46" s="6"/>
    </row>
    <row r="47" spans="1:15" ht="21.95" customHeight="1" x14ac:dyDescent="0.25">
      <c r="A47" s="10"/>
      <c r="B47" s="24"/>
      <c r="C47" s="25"/>
      <c r="D47" s="7"/>
      <c r="E47" s="7"/>
      <c r="F47" s="24"/>
      <c r="G47" s="24"/>
      <c r="H47" s="24"/>
      <c r="I47" s="7"/>
      <c r="J47" s="7"/>
      <c r="K47" s="24"/>
      <c r="L47" s="24"/>
      <c r="M47" s="24"/>
      <c r="N47" s="24"/>
      <c r="O47" s="7"/>
    </row>
    <row r="48" spans="1:15" ht="21.95" customHeight="1" x14ac:dyDescent="0.25">
      <c r="A48" s="10"/>
      <c r="B48" s="22"/>
      <c r="C48" s="23"/>
      <c r="D48" s="6"/>
      <c r="E48" s="6"/>
      <c r="F48" s="22"/>
      <c r="G48" s="22"/>
      <c r="H48" s="22"/>
      <c r="I48" s="6"/>
      <c r="J48" s="6"/>
      <c r="K48" s="22"/>
      <c r="L48" s="22"/>
      <c r="M48" s="22"/>
      <c r="N48" s="22"/>
      <c r="O48" s="6"/>
    </row>
    <row r="49" spans="1:15" ht="21.95" customHeight="1" x14ac:dyDescent="0.25">
      <c r="A49" s="10"/>
      <c r="B49" s="24"/>
      <c r="C49" s="25"/>
      <c r="D49" s="7"/>
      <c r="E49" s="7"/>
      <c r="F49" s="24"/>
      <c r="G49" s="24"/>
      <c r="H49" s="24"/>
      <c r="I49" s="7"/>
      <c r="J49" s="7"/>
      <c r="K49" s="24"/>
      <c r="L49" s="24"/>
      <c r="M49" s="24"/>
      <c r="N49" s="24"/>
      <c r="O49" s="7"/>
    </row>
    <row r="50" spans="1:15" ht="21.95" customHeight="1" x14ac:dyDescent="0.25">
      <c r="A50" s="10"/>
      <c r="B50" s="22"/>
      <c r="C50" s="23"/>
      <c r="D50" s="6"/>
      <c r="E50" s="6"/>
      <c r="F50" s="22"/>
      <c r="G50" s="22"/>
      <c r="H50" s="22"/>
      <c r="I50" s="6"/>
      <c r="J50" s="6"/>
      <c r="K50" s="22"/>
      <c r="L50" s="22"/>
      <c r="M50" s="22"/>
      <c r="N50" s="22"/>
      <c r="O50" s="6"/>
    </row>
    <row r="51" spans="1:15" ht="21.95" customHeight="1" x14ac:dyDescent="0.25">
      <c r="A51" s="10"/>
      <c r="B51" s="24"/>
      <c r="C51" s="25"/>
      <c r="D51" s="7"/>
      <c r="E51" s="7"/>
      <c r="F51" s="24"/>
      <c r="G51" s="24"/>
      <c r="H51" s="24"/>
      <c r="I51" s="7"/>
      <c r="J51" s="7"/>
      <c r="K51" s="24"/>
      <c r="L51" s="24"/>
      <c r="M51" s="24"/>
      <c r="N51" s="24"/>
      <c r="O51" s="7"/>
    </row>
    <row r="52" spans="1:15" ht="21.95" customHeight="1" x14ac:dyDescent="0.25">
      <c r="A52" s="10"/>
      <c r="B52" s="22"/>
      <c r="C52" s="23"/>
      <c r="D52" s="6"/>
      <c r="E52" s="6"/>
      <c r="F52" s="22"/>
      <c r="G52" s="22"/>
      <c r="H52" s="22"/>
      <c r="I52" s="6"/>
      <c r="J52" s="6"/>
      <c r="K52" s="22"/>
      <c r="L52" s="22"/>
      <c r="M52" s="22"/>
      <c r="N52" s="22"/>
      <c r="O52" s="6"/>
    </row>
    <row r="53" spans="1:15" ht="21.95" customHeight="1" x14ac:dyDescent="0.25">
      <c r="A53" s="10"/>
      <c r="B53" s="24"/>
      <c r="C53" s="25"/>
      <c r="D53" s="7"/>
      <c r="E53" s="7"/>
      <c r="F53" s="24"/>
      <c r="G53" s="24"/>
      <c r="H53" s="24"/>
      <c r="I53" s="7"/>
      <c r="J53" s="7"/>
      <c r="K53" s="24"/>
      <c r="L53" s="24"/>
      <c r="M53" s="24"/>
      <c r="N53" s="24"/>
      <c r="O53" s="7"/>
    </row>
    <row r="54" spans="1:15" ht="21.95" customHeight="1" x14ac:dyDescent="0.25">
      <c r="A54" s="10"/>
      <c r="B54" s="22"/>
      <c r="C54" s="23"/>
      <c r="D54" s="6"/>
      <c r="E54" s="6"/>
      <c r="F54" s="22"/>
      <c r="G54" s="22"/>
      <c r="H54" s="22"/>
      <c r="I54" s="6"/>
      <c r="J54" s="6"/>
      <c r="K54" s="22"/>
      <c r="L54" s="22"/>
      <c r="M54" s="22"/>
      <c r="N54" s="22"/>
      <c r="O54" s="6"/>
    </row>
    <row r="55" spans="1:15" ht="21.95" customHeight="1" x14ac:dyDescent="0.25">
      <c r="A55" s="10"/>
      <c r="B55" s="24"/>
      <c r="C55" s="25"/>
      <c r="D55" s="7"/>
      <c r="E55" s="7"/>
      <c r="F55" s="24"/>
      <c r="G55" s="24"/>
      <c r="H55" s="24"/>
      <c r="I55" s="7"/>
      <c r="J55" s="7"/>
      <c r="K55" s="24"/>
      <c r="L55" s="24"/>
      <c r="M55" s="24"/>
      <c r="N55" s="24"/>
      <c r="O55" s="7"/>
    </row>
    <row r="56" spans="1:15" ht="21.95" customHeight="1" x14ac:dyDescent="0.25">
      <c r="A56" s="10"/>
      <c r="B56" s="22"/>
      <c r="C56" s="23"/>
      <c r="D56" s="6"/>
      <c r="E56" s="6"/>
      <c r="F56" s="22"/>
      <c r="G56" s="22"/>
      <c r="H56" s="22"/>
      <c r="I56" s="6"/>
      <c r="J56" s="6"/>
      <c r="K56" s="22"/>
      <c r="L56" s="22"/>
      <c r="M56" s="22"/>
      <c r="N56" s="22"/>
      <c r="O56" s="6"/>
    </row>
    <row r="57" spans="1:15" ht="21.95" customHeight="1" x14ac:dyDescent="0.25">
      <c r="A57" s="10"/>
      <c r="B57" s="24"/>
      <c r="C57" s="25"/>
      <c r="D57" s="7"/>
      <c r="E57" s="7"/>
      <c r="F57" s="24"/>
      <c r="G57" s="24"/>
      <c r="H57" s="24"/>
      <c r="I57" s="7"/>
      <c r="J57" s="7"/>
      <c r="K57" s="24"/>
      <c r="L57" s="24"/>
      <c r="M57" s="24"/>
      <c r="N57" s="24"/>
      <c r="O57" s="7"/>
    </row>
    <row r="58" spans="1:15" ht="21.95" customHeight="1" x14ac:dyDescent="0.25">
      <c r="A58" s="10"/>
      <c r="B58" s="22"/>
      <c r="C58" s="23"/>
      <c r="D58" s="6"/>
      <c r="E58" s="6"/>
      <c r="F58" s="22"/>
      <c r="G58" s="22"/>
      <c r="H58" s="22"/>
      <c r="I58" s="6"/>
      <c r="J58" s="6"/>
      <c r="K58" s="22"/>
      <c r="L58" s="22"/>
      <c r="M58" s="22"/>
      <c r="N58" s="22"/>
      <c r="O58" s="6"/>
    </row>
    <row r="59" spans="1:15" ht="21.95" customHeight="1" x14ac:dyDescent="0.25">
      <c r="A59" s="10"/>
      <c r="B59" s="24"/>
      <c r="C59" s="25"/>
      <c r="D59" s="7"/>
      <c r="E59" s="7"/>
      <c r="F59" s="24"/>
      <c r="G59" s="24"/>
      <c r="H59" s="24"/>
      <c r="I59" s="7"/>
      <c r="J59" s="7"/>
      <c r="K59" s="24"/>
      <c r="L59" s="24"/>
      <c r="M59" s="24"/>
      <c r="N59" s="24"/>
      <c r="O59" s="7"/>
    </row>
    <row r="60" spans="1:15" ht="21.95" customHeight="1" x14ac:dyDescent="0.25">
      <c r="A60" s="10"/>
      <c r="B60" s="22"/>
      <c r="C60" s="23"/>
      <c r="D60" s="6"/>
      <c r="E60" s="6"/>
      <c r="F60" s="22"/>
      <c r="G60" s="22"/>
      <c r="H60" s="22"/>
      <c r="I60" s="6"/>
      <c r="J60" s="6"/>
      <c r="K60" s="22"/>
      <c r="L60" s="22"/>
      <c r="M60" s="22"/>
      <c r="N60" s="22"/>
      <c r="O60" s="6"/>
    </row>
    <row r="61" spans="1:15" ht="21.95" customHeight="1" x14ac:dyDescent="0.25">
      <c r="A61" s="10"/>
      <c r="B61" s="24"/>
      <c r="C61" s="25"/>
      <c r="D61" s="7"/>
      <c r="E61" s="7"/>
      <c r="F61" s="24"/>
      <c r="G61" s="24"/>
      <c r="H61" s="24"/>
      <c r="I61" s="7"/>
      <c r="J61" s="7"/>
      <c r="K61" s="24"/>
      <c r="L61" s="24"/>
      <c r="M61" s="24"/>
      <c r="N61" s="24"/>
      <c r="O61" s="7"/>
    </row>
  </sheetData>
  <mergeCells count="18">
    <mergeCell ref="H8:I8"/>
    <mergeCell ref="J8:K8"/>
    <mergeCell ref="B4:O4"/>
    <mergeCell ref="B7:O7"/>
    <mergeCell ref="H9:I9"/>
    <mergeCell ref="J9:K9"/>
    <mergeCell ref="B2:O2"/>
    <mergeCell ref="N5:O5"/>
    <mergeCell ref="L8:M8"/>
    <mergeCell ref="B8:C8"/>
    <mergeCell ref="N8:O8"/>
    <mergeCell ref="F8:G8"/>
    <mergeCell ref="B9:C9"/>
    <mergeCell ref="D9:E9"/>
    <mergeCell ref="F9:G9"/>
    <mergeCell ref="L9:M9"/>
    <mergeCell ref="D8:E8"/>
    <mergeCell ref="N9:O9"/>
  </mergeCells>
  <pageMargins left="0.75" right="0.75" top="1" bottom="1" header="0.5" footer="0.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1"/>
  <sheetViews>
    <sheetView showGridLines="0" tabSelected="1" workbookViewId="0">
      <pane xSplit="1" ySplit="11" topLeftCell="B12" activePane="bottomRight" state="frozen"/>
      <selection pane="topRight"/>
      <selection pane="bottomLeft"/>
      <selection pane="bottomRight" activeCell="I25" sqref="I25"/>
    </sheetView>
  </sheetViews>
  <sheetFormatPr defaultRowHeight="15" x14ac:dyDescent="0.25"/>
  <cols>
    <col min="1" max="1" width="2" customWidth="1"/>
    <col min="2" max="2" width="12" customWidth="1"/>
    <col min="3" max="3" width="16" customWidth="1"/>
    <col min="4" max="4" width="32" customWidth="1"/>
    <col min="5" max="5" width="28" customWidth="1"/>
    <col min="6" max="6" width="18" customWidth="1"/>
    <col min="7" max="7" width="13" customWidth="1"/>
    <col min="8" max="8" width="20" customWidth="1"/>
    <col min="9" max="9" width="16" customWidth="1"/>
    <col min="10" max="10" width="13" customWidth="1"/>
    <col min="11" max="11" width="28" customWidth="1"/>
    <col min="12" max="12" width="24" customWidth="1"/>
    <col min="13" max="13" width="2" customWidth="1"/>
  </cols>
  <sheetData>
    <row r="1" spans="1:19" ht="6" customHeight="1" x14ac:dyDescent="0.25">
      <c r="A1" s="10"/>
      <c r="B1" s="10"/>
      <c r="C1" s="10"/>
      <c r="D1" s="3"/>
      <c r="E1" s="3"/>
      <c r="F1" s="10"/>
      <c r="G1" s="10"/>
      <c r="H1" s="10"/>
      <c r="I1" s="10"/>
      <c r="J1" s="10"/>
      <c r="K1" s="3"/>
      <c r="L1" s="3"/>
      <c r="M1" s="10"/>
      <c r="N1" s="10"/>
    </row>
    <row r="2" spans="1:19" ht="33.950000000000003" customHeight="1" x14ac:dyDescent="0.25">
      <c r="A2" s="10"/>
      <c r="B2" s="37" t="s">
        <v>85</v>
      </c>
      <c r="C2" s="38"/>
      <c r="D2" s="38"/>
      <c r="E2" s="38"/>
      <c r="F2" s="38"/>
      <c r="G2" s="38"/>
      <c r="H2" s="38"/>
      <c r="I2" s="38"/>
      <c r="J2" s="38"/>
      <c r="K2" s="38"/>
      <c r="L2" s="38"/>
      <c r="M2" s="10"/>
      <c r="N2" s="10"/>
    </row>
    <row r="3" spans="1:19" ht="6" customHeight="1" x14ac:dyDescent="0.25">
      <c r="A3" s="10"/>
      <c r="B3" s="10"/>
      <c r="C3" s="10"/>
      <c r="D3" s="3"/>
      <c r="E3" s="3"/>
      <c r="F3" s="10"/>
      <c r="G3" s="10"/>
      <c r="H3" s="10"/>
      <c r="I3" s="10"/>
      <c r="J3" s="10"/>
      <c r="K3" s="3"/>
      <c r="L3" s="3"/>
      <c r="M3" s="10"/>
      <c r="N3" s="10"/>
    </row>
    <row r="4" spans="1:19" ht="20.100000000000001" customHeight="1" x14ac:dyDescent="0.25">
      <c r="A4" s="10"/>
      <c r="B4" s="32" t="s">
        <v>1</v>
      </c>
      <c r="C4" s="33"/>
      <c r="D4" s="33"/>
      <c r="E4" s="33"/>
      <c r="F4" s="33"/>
      <c r="G4" s="33"/>
      <c r="H4" s="33"/>
      <c r="I4" s="33"/>
      <c r="J4" s="33"/>
      <c r="K4" s="33"/>
      <c r="L4" s="34"/>
      <c r="M4" s="10"/>
      <c r="N4" s="10"/>
    </row>
    <row r="5" spans="1:19" ht="20.100000000000001" customHeight="1" x14ac:dyDescent="0.25">
      <c r="A5" s="10"/>
      <c r="B5" s="11" t="s">
        <v>2</v>
      </c>
      <c r="C5" s="12"/>
      <c r="F5" s="11" t="s">
        <v>3</v>
      </c>
      <c r="G5" s="12"/>
      <c r="I5" s="11" t="s">
        <v>4</v>
      </c>
      <c r="J5" s="12" t="s">
        <v>5</v>
      </c>
      <c r="K5" s="27" t="s">
        <v>8</v>
      </c>
      <c r="L5" s="28"/>
      <c r="M5" s="30"/>
      <c r="N5" s="31"/>
      <c r="O5" s="29"/>
      <c r="P5" s="29"/>
      <c r="Q5" s="29"/>
      <c r="R5" s="29"/>
      <c r="S5" s="29"/>
    </row>
    <row r="6" spans="1:19" ht="6" customHeight="1" x14ac:dyDescent="0.25">
      <c r="A6" s="10"/>
      <c r="B6" s="10"/>
      <c r="C6" s="10"/>
      <c r="D6" s="3"/>
      <c r="E6" s="3"/>
      <c r="F6" s="10"/>
      <c r="G6" s="10"/>
      <c r="H6" s="10"/>
      <c r="I6" s="10"/>
      <c r="J6" s="10"/>
      <c r="K6" s="3"/>
      <c r="L6" s="3"/>
      <c r="M6" s="10"/>
      <c r="N6" s="10"/>
    </row>
    <row r="7" spans="1:19" ht="20.100000000000001" customHeight="1" x14ac:dyDescent="0.25">
      <c r="A7" s="10"/>
      <c r="B7" s="32" t="s">
        <v>86</v>
      </c>
      <c r="C7" s="33"/>
      <c r="D7" s="33"/>
      <c r="E7" s="33"/>
      <c r="F7" s="33"/>
      <c r="G7" s="33"/>
      <c r="H7" s="33"/>
      <c r="I7" s="33"/>
      <c r="J7" s="33"/>
      <c r="K7" s="33"/>
      <c r="L7" s="34"/>
      <c r="M7" s="10"/>
      <c r="N7" s="10"/>
    </row>
    <row r="8" spans="1:19" ht="18" customHeight="1" x14ac:dyDescent="0.25">
      <c r="A8" s="10"/>
      <c r="B8" s="40" t="s">
        <v>87</v>
      </c>
      <c r="C8" s="34"/>
      <c r="D8" s="45" t="s">
        <v>88</v>
      </c>
      <c r="E8" s="34"/>
      <c r="F8" s="40" t="s">
        <v>89</v>
      </c>
      <c r="G8" s="34"/>
      <c r="H8" s="40" t="s">
        <v>90</v>
      </c>
      <c r="I8" s="34"/>
      <c r="J8" s="40" t="s">
        <v>12</v>
      </c>
      <c r="K8" s="34"/>
      <c r="L8" s="8"/>
      <c r="M8" s="10"/>
      <c r="N8" s="10"/>
    </row>
    <row r="9" spans="1:19" ht="32.1" customHeight="1" x14ac:dyDescent="0.25">
      <c r="A9" s="10"/>
      <c r="B9" s="41">
        <f>COUNTA(D12:D61)</f>
        <v>6</v>
      </c>
      <c r="C9" s="34"/>
      <c r="D9" s="47">
        <f>COUNTIF(J12:J61,"VALIDATED")</f>
        <v>3</v>
      </c>
      <c r="E9" s="34"/>
      <c r="F9" s="44">
        <f>COUNTIF(J12:J61,"PENDING")</f>
        <v>3</v>
      </c>
      <c r="G9" s="34"/>
      <c r="H9" s="35">
        <f>COUNTIF(J12:J61,"INVALID")</f>
        <v>0</v>
      </c>
      <c r="I9" s="34"/>
      <c r="J9" s="46">
        <f>COUNTIF(J12:J61,"CLOSED")</f>
        <v>0</v>
      </c>
      <c r="K9" s="34"/>
      <c r="L9" s="9"/>
      <c r="M9" s="10"/>
      <c r="N9" s="10"/>
    </row>
    <row r="10" spans="1:19" ht="6" customHeight="1" x14ac:dyDescent="0.25">
      <c r="A10" s="10"/>
      <c r="B10" s="10"/>
      <c r="C10" s="10"/>
      <c r="D10" s="3"/>
      <c r="E10" s="3"/>
      <c r="F10" s="10"/>
      <c r="G10" s="10"/>
      <c r="H10" s="10"/>
      <c r="I10" s="10"/>
      <c r="J10" s="10"/>
      <c r="K10" s="3"/>
      <c r="L10" s="3"/>
      <c r="M10" s="10"/>
      <c r="N10" s="10"/>
    </row>
    <row r="11" spans="1:19" ht="20.100000000000001" customHeight="1" x14ac:dyDescent="0.25">
      <c r="A11" s="10"/>
      <c r="B11" s="13" t="s">
        <v>91</v>
      </c>
      <c r="C11" s="13" t="s">
        <v>18</v>
      </c>
      <c r="D11" s="5" t="s">
        <v>92</v>
      </c>
      <c r="E11" s="5" t="s">
        <v>93</v>
      </c>
      <c r="F11" s="13" t="s">
        <v>26</v>
      </c>
      <c r="G11" s="13" t="s">
        <v>27</v>
      </c>
      <c r="H11" s="13" t="s">
        <v>94</v>
      </c>
      <c r="I11" s="13" t="s">
        <v>95</v>
      </c>
      <c r="J11" s="13" t="s">
        <v>29</v>
      </c>
      <c r="K11" s="5" t="s">
        <v>96</v>
      </c>
      <c r="L11" s="5" t="s">
        <v>30</v>
      </c>
      <c r="M11" s="10"/>
      <c r="N11" s="10"/>
    </row>
    <row r="12" spans="1:19" ht="21.95" customHeight="1" x14ac:dyDescent="0.25">
      <c r="A12" s="10"/>
      <c r="B12" s="14" t="s">
        <v>97</v>
      </c>
      <c r="C12" s="15" t="s">
        <v>71</v>
      </c>
      <c r="D12" s="1" t="s">
        <v>98</v>
      </c>
      <c r="E12" s="1" t="s">
        <v>99</v>
      </c>
      <c r="F12" s="15" t="s">
        <v>3</v>
      </c>
      <c r="G12" s="18" t="s">
        <v>100</v>
      </c>
      <c r="H12" s="15" t="s">
        <v>101</v>
      </c>
      <c r="I12" s="18" t="s">
        <v>102</v>
      </c>
      <c r="J12" s="21" t="s">
        <v>88</v>
      </c>
      <c r="K12" s="1" t="s">
        <v>103</v>
      </c>
      <c r="L12" s="1" t="s">
        <v>104</v>
      </c>
      <c r="M12" s="10"/>
      <c r="N12" s="10"/>
    </row>
    <row r="13" spans="1:19" ht="21.95" customHeight="1" x14ac:dyDescent="0.25">
      <c r="A13" s="10"/>
      <c r="B13" s="19" t="s">
        <v>105</v>
      </c>
      <c r="C13" s="12" t="s">
        <v>44</v>
      </c>
      <c r="D13" s="2" t="s">
        <v>106</v>
      </c>
      <c r="E13" s="2" t="s">
        <v>107</v>
      </c>
      <c r="F13" s="12" t="s">
        <v>58</v>
      </c>
      <c r="G13" s="20" t="s">
        <v>100</v>
      </c>
      <c r="H13" s="12"/>
      <c r="I13" s="20"/>
      <c r="J13" s="16" t="s">
        <v>89</v>
      </c>
      <c r="K13" s="2" t="s">
        <v>108</v>
      </c>
      <c r="L13" s="2" t="s">
        <v>109</v>
      </c>
      <c r="M13" s="10"/>
      <c r="N13" s="10"/>
    </row>
    <row r="14" spans="1:19" ht="21.95" customHeight="1" x14ac:dyDescent="0.25">
      <c r="A14" s="10"/>
      <c r="B14" s="14" t="s">
        <v>110</v>
      </c>
      <c r="C14" s="15" t="s">
        <v>111</v>
      </c>
      <c r="D14" s="1" t="s">
        <v>112</v>
      </c>
      <c r="E14" s="1" t="s">
        <v>113</v>
      </c>
      <c r="F14" s="15" t="s">
        <v>39</v>
      </c>
      <c r="G14" s="18" t="s">
        <v>100</v>
      </c>
      <c r="H14" s="15" t="s">
        <v>114</v>
      </c>
      <c r="I14" s="18" t="s">
        <v>68</v>
      </c>
      <c r="J14" s="21" t="s">
        <v>88</v>
      </c>
      <c r="K14" s="1" t="s">
        <v>115</v>
      </c>
      <c r="L14" s="1" t="s">
        <v>116</v>
      </c>
      <c r="M14" s="10"/>
      <c r="N14" s="10"/>
    </row>
    <row r="15" spans="1:19" ht="21.95" customHeight="1" x14ac:dyDescent="0.25">
      <c r="A15" s="10"/>
      <c r="B15" s="19" t="s">
        <v>117</v>
      </c>
      <c r="C15" s="12" t="s">
        <v>118</v>
      </c>
      <c r="D15" s="2" t="s">
        <v>119</v>
      </c>
      <c r="E15" s="2" t="s">
        <v>120</v>
      </c>
      <c r="F15" s="12" t="s">
        <v>58</v>
      </c>
      <c r="G15" s="20" t="s">
        <v>40</v>
      </c>
      <c r="H15" s="12"/>
      <c r="I15" s="20"/>
      <c r="J15" s="16" t="s">
        <v>89</v>
      </c>
      <c r="K15" s="2" t="s">
        <v>121</v>
      </c>
      <c r="L15" s="2" t="s">
        <v>122</v>
      </c>
      <c r="M15" s="10"/>
      <c r="N15" s="10"/>
    </row>
    <row r="16" spans="1:19" ht="21.95" customHeight="1" x14ac:dyDescent="0.25">
      <c r="A16" s="10"/>
      <c r="B16" s="14" t="s">
        <v>123</v>
      </c>
      <c r="C16" s="15" t="s">
        <v>62</v>
      </c>
      <c r="D16" s="1" t="s">
        <v>124</v>
      </c>
      <c r="E16" s="1" t="s">
        <v>125</v>
      </c>
      <c r="F16" s="15" t="s">
        <v>39</v>
      </c>
      <c r="G16" s="18" t="s">
        <v>68</v>
      </c>
      <c r="H16" s="15" t="s">
        <v>114</v>
      </c>
      <c r="I16" s="18" t="s">
        <v>68</v>
      </c>
      <c r="J16" s="21" t="s">
        <v>88</v>
      </c>
      <c r="K16" s="1" t="s">
        <v>126</v>
      </c>
      <c r="L16" s="1" t="s">
        <v>127</v>
      </c>
      <c r="M16" s="10"/>
      <c r="N16" s="10"/>
    </row>
    <row r="17" spans="1:14" ht="21.95" customHeight="1" x14ac:dyDescent="0.25">
      <c r="A17" s="10"/>
      <c r="B17" s="19" t="s">
        <v>128</v>
      </c>
      <c r="C17" s="12" t="s">
        <v>79</v>
      </c>
      <c r="D17" s="2" t="s">
        <v>129</v>
      </c>
      <c r="E17" s="2" t="s">
        <v>130</v>
      </c>
      <c r="F17" s="12" t="s">
        <v>39</v>
      </c>
      <c r="G17" s="20" t="s">
        <v>67</v>
      </c>
      <c r="H17" s="12"/>
      <c r="I17" s="20"/>
      <c r="J17" s="16" t="s">
        <v>89</v>
      </c>
      <c r="K17" s="2" t="s">
        <v>131</v>
      </c>
      <c r="L17" s="2" t="s">
        <v>132</v>
      </c>
      <c r="M17" s="10"/>
      <c r="N17" s="10"/>
    </row>
    <row r="18" spans="1:14" ht="21.95" customHeight="1" x14ac:dyDescent="0.25">
      <c r="A18" s="10"/>
      <c r="B18" s="22"/>
      <c r="C18" s="23"/>
      <c r="D18" s="6"/>
      <c r="E18" s="6"/>
      <c r="F18" s="23"/>
      <c r="G18" s="22"/>
      <c r="H18" s="23"/>
      <c r="I18" s="22"/>
      <c r="J18" s="22"/>
      <c r="K18" s="6"/>
      <c r="L18" s="6"/>
      <c r="M18" s="10"/>
      <c r="N18" s="10"/>
    </row>
    <row r="19" spans="1:14" ht="21.95" customHeight="1" x14ac:dyDescent="0.25">
      <c r="A19" s="10"/>
      <c r="B19" s="24"/>
      <c r="C19" s="25"/>
      <c r="D19" s="7"/>
      <c r="E19" s="7"/>
      <c r="F19" s="25"/>
      <c r="G19" s="24"/>
      <c r="H19" s="25"/>
      <c r="I19" s="24"/>
      <c r="J19" s="24"/>
      <c r="K19" s="7"/>
      <c r="L19" s="7"/>
      <c r="M19" s="10"/>
      <c r="N19" s="10"/>
    </row>
    <row r="20" spans="1:14" ht="21.95" customHeight="1" x14ac:dyDescent="0.25">
      <c r="A20" s="10"/>
      <c r="B20" s="22"/>
      <c r="C20" s="23"/>
      <c r="D20" s="6"/>
      <c r="E20" s="6"/>
      <c r="F20" s="23"/>
      <c r="G20" s="22"/>
      <c r="H20" s="23"/>
      <c r="I20" s="22"/>
      <c r="J20" s="22"/>
      <c r="K20" s="6"/>
      <c r="L20" s="6"/>
      <c r="M20" s="10"/>
      <c r="N20" s="10"/>
    </row>
    <row r="21" spans="1:14" ht="21.95" customHeight="1" x14ac:dyDescent="0.25">
      <c r="A21" s="10"/>
      <c r="B21" s="24"/>
      <c r="C21" s="25"/>
      <c r="D21" s="7"/>
      <c r="E21" s="7"/>
      <c r="F21" s="25"/>
      <c r="G21" s="24"/>
      <c r="H21" s="25"/>
      <c r="I21" s="24"/>
      <c r="J21" s="24"/>
      <c r="K21" s="7"/>
      <c r="L21" s="7"/>
      <c r="M21" s="10"/>
      <c r="N21" s="10"/>
    </row>
    <row r="22" spans="1:14" ht="21.95" customHeight="1" x14ac:dyDescent="0.25">
      <c r="A22" s="10"/>
      <c r="B22" s="22"/>
      <c r="C22" s="23"/>
      <c r="D22" s="6"/>
      <c r="E22" s="6"/>
      <c r="F22" s="23"/>
      <c r="G22" s="22"/>
      <c r="H22" s="23"/>
      <c r="I22" s="22"/>
      <c r="J22" s="22"/>
      <c r="K22" s="6"/>
      <c r="L22" s="6"/>
      <c r="M22" s="10"/>
      <c r="N22" s="10"/>
    </row>
    <row r="23" spans="1:14" ht="21.95" customHeight="1" x14ac:dyDescent="0.25">
      <c r="A23" s="10"/>
      <c r="B23" s="24"/>
      <c r="C23" s="25"/>
      <c r="D23" s="7"/>
      <c r="E23" s="7"/>
      <c r="F23" s="25"/>
      <c r="G23" s="24"/>
      <c r="H23" s="25"/>
      <c r="I23" s="24"/>
      <c r="J23" s="24"/>
      <c r="K23" s="7"/>
      <c r="L23" s="7"/>
      <c r="M23" s="10"/>
      <c r="N23" s="10"/>
    </row>
    <row r="24" spans="1:14" ht="21.95" customHeight="1" x14ac:dyDescent="0.25">
      <c r="A24" s="10"/>
      <c r="B24" s="22"/>
      <c r="C24" s="23"/>
      <c r="D24" s="6"/>
      <c r="E24" s="6"/>
      <c r="F24" s="23"/>
      <c r="G24" s="22"/>
      <c r="H24" s="23"/>
      <c r="I24" s="22"/>
      <c r="J24" s="22"/>
      <c r="K24" s="6"/>
      <c r="L24" s="6"/>
      <c r="M24" s="10"/>
      <c r="N24" s="10"/>
    </row>
    <row r="25" spans="1:14" ht="21.95" customHeight="1" x14ac:dyDescent="0.25">
      <c r="A25" s="10"/>
      <c r="B25" s="24"/>
      <c r="C25" s="25"/>
      <c r="D25" s="7"/>
      <c r="E25" s="7"/>
      <c r="F25" s="25"/>
      <c r="G25" s="24"/>
      <c r="H25" s="25"/>
      <c r="I25" s="24"/>
      <c r="J25" s="24"/>
      <c r="K25" s="7"/>
      <c r="L25" s="7"/>
      <c r="M25" s="10"/>
      <c r="N25" s="10"/>
    </row>
    <row r="26" spans="1:14" ht="21.95" customHeight="1" x14ac:dyDescent="0.25">
      <c r="A26" s="10"/>
      <c r="B26" s="22"/>
      <c r="C26" s="23"/>
      <c r="D26" s="6"/>
      <c r="E26" s="6"/>
      <c r="F26" s="23"/>
      <c r="G26" s="22"/>
      <c r="H26" s="23"/>
      <c r="I26" s="22"/>
      <c r="J26" s="22"/>
      <c r="K26" s="6"/>
      <c r="L26" s="6"/>
      <c r="M26" s="10"/>
      <c r="N26" s="10"/>
    </row>
    <row r="27" spans="1:14" ht="21.95" customHeight="1" x14ac:dyDescent="0.25">
      <c r="A27" s="10"/>
      <c r="B27" s="24"/>
      <c r="C27" s="25"/>
      <c r="D27" s="7"/>
      <c r="E27" s="7"/>
      <c r="F27" s="25"/>
      <c r="G27" s="24"/>
      <c r="H27" s="25"/>
      <c r="I27" s="24"/>
      <c r="J27" s="24"/>
      <c r="K27" s="7"/>
      <c r="L27" s="7"/>
      <c r="M27" s="10"/>
      <c r="N27" s="10"/>
    </row>
    <row r="28" spans="1:14" ht="21.95" customHeight="1" x14ac:dyDescent="0.25">
      <c r="A28" s="10"/>
      <c r="B28" s="22"/>
      <c r="C28" s="23"/>
      <c r="D28" s="6"/>
      <c r="E28" s="6"/>
      <c r="F28" s="23"/>
      <c r="G28" s="22"/>
      <c r="H28" s="23"/>
      <c r="I28" s="22"/>
      <c r="J28" s="22"/>
      <c r="K28" s="6"/>
      <c r="L28" s="6"/>
      <c r="M28" s="10"/>
      <c r="N28" s="10"/>
    </row>
    <row r="29" spans="1:14" ht="21.95" customHeight="1" x14ac:dyDescent="0.25">
      <c r="A29" s="10"/>
      <c r="B29" s="24"/>
      <c r="C29" s="25"/>
      <c r="D29" s="7"/>
      <c r="E29" s="7"/>
      <c r="F29" s="25"/>
      <c r="G29" s="24"/>
      <c r="H29" s="25"/>
      <c r="I29" s="24"/>
      <c r="J29" s="24"/>
      <c r="K29" s="7"/>
      <c r="L29" s="7"/>
      <c r="M29" s="10"/>
      <c r="N29" s="10"/>
    </row>
    <row r="30" spans="1:14" ht="21.95" customHeight="1" x14ac:dyDescent="0.25">
      <c r="A30" s="10"/>
      <c r="B30" s="22"/>
      <c r="C30" s="23"/>
      <c r="D30" s="6"/>
      <c r="E30" s="6"/>
      <c r="F30" s="23"/>
      <c r="G30" s="22"/>
      <c r="H30" s="23"/>
      <c r="I30" s="22"/>
      <c r="J30" s="22"/>
      <c r="K30" s="6"/>
      <c r="L30" s="6"/>
      <c r="M30" s="10"/>
      <c r="N30" s="10"/>
    </row>
    <row r="31" spans="1:14" ht="21.95" customHeight="1" x14ac:dyDescent="0.25">
      <c r="A31" s="10"/>
      <c r="B31" s="24"/>
      <c r="C31" s="25"/>
      <c r="D31" s="7"/>
      <c r="E31" s="7"/>
      <c r="F31" s="25"/>
      <c r="G31" s="24"/>
      <c r="H31" s="25"/>
      <c r="I31" s="24"/>
      <c r="J31" s="24"/>
      <c r="K31" s="7"/>
      <c r="L31" s="7"/>
      <c r="M31" s="10"/>
      <c r="N31" s="10"/>
    </row>
    <row r="32" spans="1:14" ht="21.95" customHeight="1" x14ac:dyDescent="0.25">
      <c r="A32" s="10"/>
      <c r="B32" s="22"/>
      <c r="C32" s="23"/>
      <c r="D32" s="6"/>
      <c r="E32" s="6"/>
      <c r="F32" s="23"/>
      <c r="G32" s="22"/>
      <c r="H32" s="23"/>
      <c r="I32" s="22"/>
      <c r="J32" s="22"/>
      <c r="K32" s="6"/>
      <c r="L32" s="6"/>
      <c r="M32" s="10"/>
      <c r="N32" s="10"/>
    </row>
    <row r="33" spans="1:14" ht="21.95" customHeight="1" x14ac:dyDescent="0.25">
      <c r="A33" s="10"/>
      <c r="B33" s="24"/>
      <c r="C33" s="25"/>
      <c r="D33" s="7"/>
      <c r="E33" s="7"/>
      <c r="F33" s="25"/>
      <c r="G33" s="24"/>
      <c r="H33" s="25"/>
      <c r="I33" s="24"/>
      <c r="J33" s="24"/>
      <c r="K33" s="7"/>
      <c r="L33" s="7"/>
      <c r="M33" s="10"/>
      <c r="N33" s="10"/>
    </row>
    <row r="34" spans="1:14" ht="21.95" customHeight="1" x14ac:dyDescent="0.25">
      <c r="A34" s="10"/>
      <c r="B34" s="22"/>
      <c r="C34" s="23"/>
      <c r="D34" s="6"/>
      <c r="E34" s="6"/>
      <c r="F34" s="23"/>
      <c r="G34" s="22"/>
      <c r="H34" s="23"/>
      <c r="I34" s="22"/>
      <c r="J34" s="22"/>
      <c r="K34" s="6"/>
      <c r="L34" s="6"/>
      <c r="M34" s="10"/>
      <c r="N34" s="10"/>
    </row>
    <row r="35" spans="1:14" ht="21.95" customHeight="1" x14ac:dyDescent="0.25">
      <c r="A35" s="10"/>
      <c r="B35" s="24"/>
      <c r="C35" s="25"/>
      <c r="D35" s="7"/>
      <c r="E35" s="7"/>
      <c r="F35" s="25"/>
      <c r="G35" s="24"/>
      <c r="H35" s="25"/>
      <c r="I35" s="24"/>
      <c r="J35" s="24"/>
      <c r="K35" s="7"/>
      <c r="L35" s="7"/>
      <c r="M35" s="10"/>
      <c r="N35" s="10"/>
    </row>
    <row r="36" spans="1:14" ht="21.95" customHeight="1" x14ac:dyDescent="0.25">
      <c r="A36" s="10"/>
      <c r="B36" s="22"/>
      <c r="C36" s="23"/>
      <c r="D36" s="6"/>
      <c r="E36" s="6"/>
      <c r="F36" s="23"/>
      <c r="G36" s="22"/>
      <c r="H36" s="23"/>
      <c r="I36" s="22"/>
      <c r="J36" s="22"/>
      <c r="K36" s="6"/>
      <c r="L36" s="6"/>
      <c r="M36" s="10"/>
      <c r="N36" s="10"/>
    </row>
    <row r="37" spans="1:14" ht="21.95" customHeight="1" x14ac:dyDescent="0.25">
      <c r="A37" s="10"/>
      <c r="B37" s="24"/>
      <c r="C37" s="25"/>
      <c r="D37" s="7"/>
      <c r="E37" s="7"/>
      <c r="F37" s="25"/>
      <c r="G37" s="24"/>
      <c r="H37" s="25"/>
      <c r="I37" s="24"/>
      <c r="J37" s="24"/>
      <c r="K37" s="7"/>
      <c r="L37" s="7"/>
      <c r="M37" s="10"/>
      <c r="N37" s="10"/>
    </row>
    <row r="38" spans="1:14" ht="21.95" customHeight="1" x14ac:dyDescent="0.25">
      <c r="A38" s="10"/>
      <c r="B38" s="22"/>
      <c r="C38" s="23"/>
      <c r="D38" s="6"/>
      <c r="E38" s="6"/>
      <c r="F38" s="23"/>
      <c r="G38" s="22"/>
      <c r="H38" s="23"/>
      <c r="I38" s="22"/>
      <c r="J38" s="22"/>
      <c r="K38" s="6"/>
      <c r="L38" s="6"/>
      <c r="M38" s="10"/>
      <c r="N38" s="10"/>
    </row>
    <row r="39" spans="1:14" ht="21.95" customHeight="1" x14ac:dyDescent="0.25">
      <c r="A39" s="10"/>
      <c r="B39" s="24"/>
      <c r="C39" s="25"/>
      <c r="D39" s="7"/>
      <c r="E39" s="7"/>
      <c r="F39" s="25"/>
      <c r="G39" s="24"/>
      <c r="H39" s="25"/>
      <c r="I39" s="24"/>
      <c r="J39" s="24"/>
      <c r="K39" s="7"/>
      <c r="L39" s="7"/>
      <c r="M39" s="10"/>
      <c r="N39" s="10"/>
    </row>
    <row r="40" spans="1:14" ht="21.95" customHeight="1" x14ac:dyDescent="0.25">
      <c r="A40" s="10"/>
      <c r="B40" s="22"/>
      <c r="C40" s="23"/>
      <c r="D40" s="6"/>
      <c r="E40" s="6"/>
      <c r="F40" s="23"/>
      <c r="G40" s="22"/>
      <c r="H40" s="23"/>
      <c r="I40" s="22"/>
      <c r="J40" s="22"/>
      <c r="K40" s="6"/>
      <c r="L40" s="6"/>
      <c r="M40" s="10"/>
      <c r="N40" s="10"/>
    </row>
    <row r="41" spans="1:14" ht="21.95" customHeight="1" x14ac:dyDescent="0.25">
      <c r="A41" s="10"/>
      <c r="B41" s="24"/>
      <c r="C41" s="25"/>
      <c r="D41" s="7"/>
      <c r="E41" s="7"/>
      <c r="F41" s="25"/>
      <c r="G41" s="24"/>
      <c r="H41" s="25"/>
      <c r="I41" s="24"/>
      <c r="J41" s="24"/>
      <c r="K41" s="7"/>
      <c r="L41" s="7"/>
      <c r="M41" s="10"/>
      <c r="N41" s="10"/>
    </row>
    <row r="42" spans="1:14" ht="21.95" customHeight="1" x14ac:dyDescent="0.25">
      <c r="A42" s="10"/>
      <c r="B42" s="22"/>
      <c r="C42" s="23"/>
      <c r="D42" s="6"/>
      <c r="E42" s="6"/>
      <c r="F42" s="23"/>
      <c r="G42" s="22"/>
      <c r="H42" s="23"/>
      <c r="I42" s="22"/>
      <c r="J42" s="22"/>
      <c r="K42" s="6"/>
      <c r="L42" s="6"/>
      <c r="M42" s="10"/>
      <c r="N42" s="10"/>
    </row>
    <row r="43" spans="1:14" ht="21.95" customHeight="1" x14ac:dyDescent="0.25">
      <c r="A43" s="10"/>
      <c r="B43" s="24"/>
      <c r="C43" s="25"/>
      <c r="D43" s="7"/>
      <c r="E43" s="7"/>
      <c r="F43" s="25"/>
      <c r="G43" s="24"/>
      <c r="H43" s="25"/>
      <c r="I43" s="24"/>
      <c r="J43" s="24"/>
      <c r="K43" s="7"/>
      <c r="L43" s="7"/>
      <c r="M43" s="10"/>
      <c r="N43" s="10"/>
    </row>
    <row r="44" spans="1:14" ht="21.95" customHeight="1" x14ac:dyDescent="0.25">
      <c r="A44" s="10"/>
      <c r="B44" s="22"/>
      <c r="C44" s="23"/>
      <c r="D44" s="6"/>
      <c r="E44" s="6"/>
      <c r="F44" s="23"/>
      <c r="G44" s="22"/>
      <c r="H44" s="23"/>
      <c r="I44" s="22"/>
      <c r="J44" s="22"/>
      <c r="K44" s="6"/>
      <c r="L44" s="6"/>
      <c r="M44" s="10"/>
      <c r="N44" s="10"/>
    </row>
    <row r="45" spans="1:14" ht="21.95" customHeight="1" x14ac:dyDescent="0.25">
      <c r="A45" s="10"/>
      <c r="B45" s="24"/>
      <c r="C45" s="25"/>
      <c r="D45" s="7"/>
      <c r="E45" s="7"/>
      <c r="F45" s="25"/>
      <c r="G45" s="24"/>
      <c r="H45" s="25"/>
      <c r="I45" s="24"/>
      <c r="J45" s="24"/>
      <c r="K45" s="7"/>
      <c r="L45" s="7"/>
      <c r="M45" s="10"/>
      <c r="N45" s="10"/>
    </row>
    <row r="46" spans="1:14" ht="21.95" customHeight="1" x14ac:dyDescent="0.25">
      <c r="A46" s="10"/>
      <c r="B46" s="22"/>
      <c r="C46" s="23"/>
      <c r="D46" s="6"/>
      <c r="E46" s="6"/>
      <c r="F46" s="23"/>
      <c r="G46" s="22"/>
      <c r="H46" s="23"/>
      <c r="I46" s="22"/>
      <c r="J46" s="22"/>
      <c r="K46" s="6"/>
      <c r="L46" s="6"/>
      <c r="M46" s="10"/>
      <c r="N46" s="10"/>
    </row>
    <row r="47" spans="1:14" ht="21.95" customHeight="1" x14ac:dyDescent="0.25">
      <c r="A47" s="10"/>
      <c r="B47" s="24"/>
      <c r="C47" s="25"/>
      <c r="D47" s="7"/>
      <c r="E47" s="7"/>
      <c r="F47" s="25"/>
      <c r="G47" s="24"/>
      <c r="H47" s="25"/>
      <c r="I47" s="24"/>
      <c r="J47" s="24"/>
      <c r="K47" s="7"/>
      <c r="L47" s="7"/>
      <c r="M47" s="10"/>
      <c r="N47" s="10"/>
    </row>
    <row r="48" spans="1:14" ht="21.95" customHeight="1" x14ac:dyDescent="0.25">
      <c r="A48" s="10"/>
      <c r="B48" s="22"/>
      <c r="C48" s="23"/>
      <c r="D48" s="6"/>
      <c r="E48" s="6"/>
      <c r="F48" s="23"/>
      <c r="G48" s="22"/>
      <c r="H48" s="23"/>
      <c r="I48" s="22"/>
      <c r="J48" s="22"/>
      <c r="K48" s="6"/>
      <c r="L48" s="6"/>
      <c r="M48" s="10"/>
      <c r="N48" s="10"/>
    </row>
    <row r="49" spans="1:14" ht="21.95" customHeight="1" x14ac:dyDescent="0.25">
      <c r="A49" s="10"/>
      <c r="B49" s="24"/>
      <c r="C49" s="25"/>
      <c r="D49" s="7"/>
      <c r="E49" s="7"/>
      <c r="F49" s="25"/>
      <c r="G49" s="24"/>
      <c r="H49" s="25"/>
      <c r="I49" s="24"/>
      <c r="J49" s="24"/>
      <c r="K49" s="7"/>
      <c r="L49" s="7"/>
      <c r="M49" s="10"/>
      <c r="N49" s="10"/>
    </row>
    <row r="50" spans="1:14" ht="21.95" customHeight="1" x14ac:dyDescent="0.25">
      <c r="A50" s="10"/>
      <c r="B50" s="22"/>
      <c r="C50" s="23"/>
      <c r="D50" s="6"/>
      <c r="E50" s="6"/>
      <c r="F50" s="23"/>
      <c r="G50" s="22"/>
      <c r="H50" s="23"/>
      <c r="I50" s="22"/>
      <c r="J50" s="22"/>
      <c r="K50" s="6"/>
      <c r="L50" s="6"/>
      <c r="M50" s="10"/>
      <c r="N50" s="10"/>
    </row>
    <row r="51" spans="1:14" ht="21.95" customHeight="1" x14ac:dyDescent="0.25">
      <c r="A51" s="10"/>
      <c r="B51" s="24"/>
      <c r="C51" s="25"/>
      <c r="D51" s="7"/>
      <c r="E51" s="7"/>
      <c r="F51" s="25"/>
      <c r="G51" s="24"/>
      <c r="H51" s="25"/>
      <c r="I51" s="24"/>
      <c r="J51" s="24"/>
      <c r="K51" s="7"/>
      <c r="L51" s="7"/>
      <c r="M51" s="10"/>
      <c r="N51" s="10"/>
    </row>
    <row r="52" spans="1:14" ht="21.95" customHeight="1" x14ac:dyDescent="0.25">
      <c r="A52" s="10"/>
      <c r="B52" s="22"/>
      <c r="C52" s="23"/>
      <c r="D52" s="6"/>
      <c r="E52" s="6"/>
      <c r="F52" s="23"/>
      <c r="G52" s="22"/>
      <c r="H52" s="23"/>
      <c r="I52" s="22"/>
      <c r="J52" s="22"/>
      <c r="K52" s="6"/>
      <c r="L52" s="6"/>
      <c r="M52" s="10"/>
      <c r="N52" s="10"/>
    </row>
    <row r="53" spans="1:14" ht="21.95" customHeight="1" x14ac:dyDescent="0.25">
      <c r="A53" s="10"/>
      <c r="B53" s="24"/>
      <c r="C53" s="25"/>
      <c r="D53" s="7"/>
      <c r="E53" s="7"/>
      <c r="F53" s="25"/>
      <c r="G53" s="24"/>
      <c r="H53" s="25"/>
      <c r="I53" s="24"/>
      <c r="J53" s="24"/>
      <c r="K53" s="7"/>
      <c r="L53" s="7"/>
      <c r="M53" s="10"/>
      <c r="N53" s="10"/>
    </row>
    <row r="54" spans="1:14" ht="21.95" customHeight="1" x14ac:dyDescent="0.25">
      <c r="A54" s="10"/>
      <c r="B54" s="22"/>
      <c r="C54" s="23"/>
      <c r="D54" s="6"/>
      <c r="E54" s="6"/>
      <c r="F54" s="23"/>
      <c r="G54" s="22"/>
      <c r="H54" s="23"/>
      <c r="I54" s="22"/>
      <c r="J54" s="22"/>
      <c r="K54" s="6"/>
      <c r="L54" s="6"/>
      <c r="M54" s="10"/>
      <c r="N54" s="10"/>
    </row>
    <row r="55" spans="1:14" ht="21.95" customHeight="1" x14ac:dyDescent="0.25">
      <c r="A55" s="10"/>
      <c r="B55" s="24"/>
      <c r="C55" s="25"/>
      <c r="D55" s="7"/>
      <c r="E55" s="7"/>
      <c r="F55" s="25"/>
      <c r="G55" s="24"/>
      <c r="H55" s="25"/>
      <c r="I55" s="24"/>
      <c r="J55" s="24"/>
      <c r="K55" s="7"/>
      <c r="L55" s="7"/>
      <c r="M55" s="10"/>
      <c r="N55" s="10"/>
    </row>
    <row r="56" spans="1:14" ht="21.95" customHeight="1" x14ac:dyDescent="0.25">
      <c r="A56" s="10"/>
      <c r="B56" s="22"/>
      <c r="C56" s="23"/>
      <c r="D56" s="6"/>
      <c r="E56" s="6"/>
      <c r="F56" s="23"/>
      <c r="G56" s="22"/>
      <c r="H56" s="23"/>
      <c r="I56" s="22"/>
      <c r="J56" s="22"/>
      <c r="K56" s="6"/>
      <c r="L56" s="6"/>
      <c r="M56" s="10"/>
      <c r="N56" s="10"/>
    </row>
    <row r="57" spans="1:14" ht="21.95" customHeight="1" x14ac:dyDescent="0.25">
      <c r="A57" s="10"/>
      <c r="B57" s="24"/>
      <c r="C57" s="25"/>
      <c r="D57" s="7"/>
      <c r="E57" s="7"/>
      <c r="F57" s="25"/>
      <c r="G57" s="24"/>
      <c r="H57" s="25"/>
      <c r="I57" s="24"/>
      <c r="J57" s="24"/>
      <c r="K57" s="7"/>
      <c r="L57" s="7"/>
      <c r="M57" s="10"/>
      <c r="N57" s="10"/>
    </row>
    <row r="58" spans="1:14" ht="21.95" customHeight="1" x14ac:dyDescent="0.25">
      <c r="A58" s="10"/>
      <c r="B58" s="22"/>
      <c r="C58" s="23"/>
      <c r="D58" s="6"/>
      <c r="E58" s="6"/>
      <c r="F58" s="23"/>
      <c r="G58" s="22"/>
      <c r="H58" s="23"/>
      <c r="I58" s="22"/>
      <c r="J58" s="22"/>
      <c r="K58" s="6"/>
      <c r="L58" s="6"/>
      <c r="M58" s="10"/>
      <c r="N58" s="10"/>
    </row>
    <row r="59" spans="1:14" ht="21.95" customHeight="1" x14ac:dyDescent="0.25">
      <c r="A59" s="10"/>
      <c r="B59" s="24"/>
      <c r="C59" s="25"/>
      <c r="D59" s="7"/>
      <c r="E59" s="7"/>
      <c r="F59" s="25"/>
      <c r="G59" s="24"/>
      <c r="H59" s="25"/>
      <c r="I59" s="24"/>
      <c r="J59" s="24"/>
      <c r="K59" s="7"/>
      <c r="L59" s="7"/>
      <c r="M59" s="10"/>
      <c r="N59" s="10"/>
    </row>
    <row r="60" spans="1:14" ht="21.95" customHeight="1" x14ac:dyDescent="0.25">
      <c r="A60" s="10"/>
      <c r="B60" s="22"/>
      <c r="C60" s="23"/>
      <c r="D60" s="6"/>
      <c r="E60" s="6"/>
      <c r="F60" s="23"/>
      <c r="G60" s="22"/>
      <c r="H60" s="23"/>
      <c r="I60" s="22"/>
      <c r="J60" s="22"/>
      <c r="K60" s="6"/>
      <c r="L60" s="6"/>
      <c r="M60" s="10"/>
      <c r="N60" s="10"/>
    </row>
    <row r="61" spans="1:14" ht="21.95" customHeight="1" x14ac:dyDescent="0.25">
      <c r="A61" s="10"/>
      <c r="B61" s="24"/>
      <c r="C61" s="25"/>
      <c r="D61" s="7"/>
      <c r="E61" s="7"/>
      <c r="F61" s="25"/>
      <c r="G61" s="24"/>
      <c r="H61" s="25"/>
      <c r="I61" s="24"/>
      <c r="J61" s="24"/>
      <c r="K61" s="7"/>
      <c r="L61" s="7"/>
      <c r="M61" s="10"/>
      <c r="N61" s="10"/>
    </row>
  </sheetData>
  <mergeCells count="13">
    <mergeCell ref="J9:K9"/>
    <mergeCell ref="H8:I8"/>
    <mergeCell ref="B9:C9"/>
    <mergeCell ref="D9:E9"/>
    <mergeCell ref="B8:C8"/>
    <mergeCell ref="H9:I9"/>
    <mergeCell ref="F9:G9"/>
    <mergeCell ref="F8:G8"/>
    <mergeCell ref="D8:E8"/>
    <mergeCell ref="B4:L4"/>
    <mergeCell ref="B7:L7"/>
    <mergeCell ref="B2:L2"/>
    <mergeCell ref="J8:K8"/>
  </mergeCells>
  <pageMargins left="0.75" right="0.75" top="1" bottom="1" header="0.5" footer="0.5"/>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1"/>
  <sheetViews>
    <sheetView showGridLines="0" workbookViewId="0">
      <pane xSplit="1" ySplit="11" topLeftCell="B12" activePane="bottomRight" state="frozen"/>
      <selection pane="topRight"/>
      <selection pane="bottomLeft"/>
      <selection pane="bottomRight"/>
    </sheetView>
  </sheetViews>
  <sheetFormatPr defaultRowHeight="15" x14ac:dyDescent="0.25"/>
  <cols>
    <col min="1" max="1" width="2" customWidth="1"/>
    <col min="2" max="2" width="9" customWidth="1"/>
    <col min="3" max="3" width="14" customWidth="1"/>
    <col min="4" max="4" width="32" customWidth="1"/>
    <col min="5" max="5" width="26" customWidth="1"/>
    <col min="6" max="6" width="11" customWidth="1"/>
    <col min="7" max="8" width="18" customWidth="1"/>
    <col min="9" max="12" width="13" customWidth="1"/>
    <col min="13" max="13" width="30" customWidth="1"/>
    <col min="14" max="14" width="24" customWidth="1"/>
    <col min="15" max="15" width="2" customWidth="1"/>
  </cols>
  <sheetData>
    <row r="1" spans="1:19" ht="6" customHeight="1" x14ac:dyDescent="0.25">
      <c r="A1" s="10"/>
      <c r="B1" s="10"/>
      <c r="C1" s="10"/>
      <c r="D1" s="3"/>
      <c r="E1" s="3"/>
      <c r="F1" s="10"/>
      <c r="G1" s="10"/>
      <c r="H1" s="10"/>
      <c r="I1" s="10"/>
      <c r="J1" s="10"/>
      <c r="K1" s="10"/>
      <c r="L1" s="10"/>
      <c r="M1" s="3"/>
      <c r="N1" s="3"/>
    </row>
    <row r="2" spans="1:19" ht="33.950000000000003" customHeight="1" x14ac:dyDescent="0.25">
      <c r="A2" s="10"/>
      <c r="B2" s="37" t="s">
        <v>133</v>
      </c>
      <c r="C2" s="38"/>
      <c r="D2" s="38"/>
      <c r="E2" s="38"/>
      <c r="F2" s="38"/>
      <c r="G2" s="38"/>
      <c r="H2" s="38"/>
      <c r="I2" s="38"/>
      <c r="J2" s="38"/>
      <c r="K2" s="38"/>
      <c r="L2" s="38"/>
      <c r="M2" s="38"/>
      <c r="N2" s="38"/>
    </row>
    <row r="3" spans="1:19" ht="6" customHeight="1" x14ac:dyDescent="0.25">
      <c r="A3" s="10"/>
      <c r="B3" s="10"/>
      <c r="C3" s="10"/>
      <c r="D3" s="3"/>
      <c r="E3" s="3"/>
      <c r="F3" s="10"/>
      <c r="G3" s="10"/>
      <c r="H3" s="10"/>
      <c r="I3" s="10"/>
      <c r="J3" s="10"/>
      <c r="K3" s="10"/>
      <c r="L3" s="10"/>
      <c r="M3" s="3"/>
      <c r="N3" s="3"/>
    </row>
    <row r="4" spans="1:19" ht="20.100000000000001" customHeight="1" x14ac:dyDescent="0.25">
      <c r="A4" s="10"/>
      <c r="B4" s="32" t="s">
        <v>1</v>
      </c>
      <c r="C4" s="33"/>
      <c r="D4" s="33"/>
      <c r="E4" s="33"/>
      <c r="F4" s="33"/>
      <c r="G4" s="33"/>
      <c r="H4" s="33"/>
      <c r="I4" s="33"/>
      <c r="J4" s="33"/>
      <c r="K4" s="33"/>
      <c r="L4" s="33"/>
      <c r="M4" s="33"/>
      <c r="N4" s="34"/>
    </row>
    <row r="5" spans="1:19" ht="20.100000000000001" customHeight="1" x14ac:dyDescent="0.25">
      <c r="A5" s="10"/>
      <c r="B5" s="11" t="s">
        <v>2</v>
      </c>
      <c r="C5" s="12"/>
      <c r="F5" s="11" t="s">
        <v>3</v>
      </c>
      <c r="G5" s="12"/>
      <c r="I5" s="11" t="s">
        <v>4</v>
      </c>
      <c r="J5" s="12" t="s">
        <v>5</v>
      </c>
      <c r="K5" s="11" t="s">
        <v>6</v>
      </c>
      <c r="L5" s="12" t="s">
        <v>7</v>
      </c>
      <c r="M5" s="27" t="s">
        <v>8</v>
      </c>
      <c r="N5" s="28"/>
      <c r="O5" s="29"/>
      <c r="P5" s="29"/>
      <c r="Q5" s="29"/>
      <c r="R5" s="29"/>
      <c r="S5" s="29"/>
    </row>
    <row r="6" spans="1:19" ht="6" customHeight="1" x14ac:dyDescent="0.25">
      <c r="A6" s="10"/>
      <c r="B6" s="10"/>
      <c r="C6" s="10"/>
      <c r="D6" s="3"/>
      <c r="E6" s="3"/>
      <c r="F6" s="10"/>
      <c r="G6" s="10"/>
      <c r="H6" s="10"/>
      <c r="I6" s="10"/>
      <c r="J6" s="10"/>
      <c r="K6" s="10"/>
      <c r="L6" s="10"/>
      <c r="M6" s="3"/>
      <c r="N6" s="3"/>
    </row>
    <row r="7" spans="1:19" ht="20.100000000000001" customHeight="1" x14ac:dyDescent="0.25">
      <c r="A7" s="10"/>
      <c r="B7" s="32" t="s">
        <v>134</v>
      </c>
      <c r="C7" s="33"/>
      <c r="D7" s="33"/>
      <c r="E7" s="33"/>
      <c r="F7" s="33"/>
      <c r="G7" s="33"/>
      <c r="H7" s="33"/>
      <c r="I7" s="33"/>
      <c r="J7" s="33"/>
      <c r="K7" s="33"/>
      <c r="L7" s="33"/>
      <c r="M7" s="33"/>
      <c r="N7" s="34"/>
    </row>
    <row r="8" spans="1:19" ht="18" customHeight="1" x14ac:dyDescent="0.25">
      <c r="A8" s="10"/>
      <c r="B8" s="40" t="s">
        <v>87</v>
      </c>
      <c r="C8" s="34"/>
      <c r="D8" s="45" t="s">
        <v>11</v>
      </c>
      <c r="E8" s="34"/>
      <c r="F8" s="40" t="s">
        <v>135</v>
      </c>
      <c r="G8" s="34"/>
      <c r="H8" s="40" t="s">
        <v>13</v>
      </c>
      <c r="I8" s="34"/>
      <c r="J8" s="40" t="s">
        <v>12</v>
      </c>
      <c r="K8" s="34"/>
      <c r="L8" s="40" t="s">
        <v>136</v>
      </c>
      <c r="M8" s="34"/>
      <c r="N8" s="8"/>
    </row>
    <row r="9" spans="1:19" ht="32.1" customHeight="1" x14ac:dyDescent="0.25">
      <c r="A9" s="10"/>
      <c r="B9" s="41">
        <f>COUNTA(D12:D61)</f>
        <v>5</v>
      </c>
      <c r="C9" s="34"/>
      <c r="D9" s="42">
        <f>COUNTIF(L12:L61,"OPEN")</f>
        <v>2</v>
      </c>
      <c r="E9" s="34"/>
      <c r="F9" s="43">
        <f>COUNTIF(L12:L61,"RESOLVED")</f>
        <v>0</v>
      </c>
      <c r="G9" s="34"/>
      <c r="H9" s="35">
        <f>COUNTIF(L12:L61,"ESCALATED")</f>
        <v>1</v>
      </c>
      <c r="I9" s="34"/>
      <c r="J9" s="46">
        <f>COUNTIF(L12:L61,"CLOSED")</f>
        <v>2</v>
      </c>
      <c r="K9" s="34"/>
      <c r="L9" s="35">
        <f>COUNTIF(F12:F61,"HIGH")</f>
        <v>3</v>
      </c>
      <c r="M9" s="34"/>
      <c r="N9" s="9"/>
    </row>
    <row r="10" spans="1:19" ht="6" customHeight="1" x14ac:dyDescent="0.25">
      <c r="A10" s="10"/>
      <c r="B10" s="10"/>
      <c r="C10" s="10"/>
      <c r="D10" s="3"/>
      <c r="E10" s="3"/>
      <c r="F10" s="10"/>
      <c r="G10" s="10"/>
      <c r="H10" s="10"/>
      <c r="I10" s="10"/>
      <c r="J10" s="10"/>
      <c r="K10" s="10"/>
      <c r="L10" s="10"/>
      <c r="M10" s="3"/>
      <c r="N10" s="3"/>
    </row>
    <row r="11" spans="1:19" ht="20.100000000000001" customHeight="1" x14ac:dyDescent="0.25">
      <c r="A11" s="10"/>
      <c r="B11" s="13" t="s">
        <v>137</v>
      </c>
      <c r="C11" s="13" t="s">
        <v>18</v>
      </c>
      <c r="D11" s="5" t="s">
        <v>138</v>
      </c>
      <c r="E11" s="5" t="s">
        <v>22</v>
      </c>
      <c r="F11" s="13" t="s">
        <v>139</v>
      </c>
      <c r="G11" s="13" t="s">
        <v>140</v>
      </c>
      <c r="H11" s="13" t="s">
        <v>26</v>
      </c>
      <c r="I11" s="13" t="s">
        <v>27</v>
      </c>
      <c r="J11" s="13" t="s">
        <v>141</v>
      </c>
      <c r="K11" s="13" t="s">
        <v>142</v>
      </c>
      <c r="L11" s="13" t="s">
        <v>29</v>
      </c>
      <c r="M11" s="5" t="s">
        <v>143</v>
      </c>
      <c r="N11" s="5" t="s">
        <v>30</v>
      </c>
    </row>
    <row r="12" spans="1:19" ht="21.95" customHeight="1" x14ac:dyDescent="0.25">
      <c r="A12" s="10"/>
      <c r="B12" s="14" t="s">
        <v>144</v>
      </c>
      <c r="C12" s="15" t="s">
        <v>44</v>
      </c>
      <c r="D12" s="1" t="s">
        <v>145</v>
      </c>
      <c r="E12" s="1" t="s">
        <v>146</v>
      </c>
      <c r="F12" s="16" t="s">
        <v>35</v>
      </c>
      <c r="G12" s="15" t="s">
        <v>58</v>
      </c>
      <c r="H12" s="15" t="s">
        <v>58</v>
      </c>
      <c r="I12" s="18" t="s">
        <v>40</v>
      </c>
      <c r="J12" s="18" t="s">
        <v>147</v>
      </c>
      <c r="K12" s="18" t="s">
        <v>147</v>
      </c>
      <c r="L12" s="26" t="s">
        <v>12</v>
      </c>
      <c r="M12" s="1" t="s">
        <v>148</v>
      </c>
      <c r="N12" s="1" t="s">
        <v>149</v>
      </c>
    </row>
    <row r="13" spans="1:19" ht="21.95" customHeight="1" x14ac:dyDescent="0.25">
      <c r="A13" s="10"/>
      <c r="B13" s="19" t="s">
        <v>150</v>
      </c>
      <c r="C13" s="12" t="s">
        <v>151</v>
      </c>
      <c r="D13" s="2" t="s">
        <v>152</v>
      </c>
      <c r="E13" s="2" t="s">
        <v>153</v>
      </c>
      <c r="F13" s="17" t="s">
        <v>36</v>
      </c>
      <c r="G13" s="12" t="s">
        <v>49</v>
      </c>
      <c r="H13" s="12" t="s">
        <v>49</v>
      </c>
      <c r="I13" s="20" t="s">
        <v>154</v>
      </c>
      <c r="J13" s="20" t="s">
        <v>50</v>
      </c>
      <c r="K13" s="20"/>
      <c r="L13" s="16" t="s">
        <v>11</v>
      </c>
      <c r="M13" s="2" t="s">
        <v>155</v>
      </c>
      <c r="N13" s="2" t="s">
        <v>156</v>
      </c>
    </row>
    <row r="14" spans="1:19" ht="21.95" customHeight="1" x14ac:dyDescent="0.25">
      <c r="A14" s="10"/>
      <c r="B14" s="14" t="s">
        <v>157</v>
      </c>
      <c r="C14" s="15" t="s">
        <v>111</v>
      </c>
      <c r="D14" s="1" t="s">
        <v>158</v>
      </c>
      <c r="E14" s="1" t="s">
        <v>159</v>
      </c>
      <c r="F14" s="17" t="s">
        <v>36</v>
      </c>
      <c r="G14" s="15" t="s">
        <v>39</v>
      </c>
      <c r="H14" s="15" t="s">
        <v>39</v>
      </c>
      <c r="I14" s="18" t="s">
        <v>160</v>
      </c>
      <c r="J14" s="18" t="s">
        <v>84</v>
      </c>
      <c r="K14" s="18"/>
      <c r="L14" s="16" t="s">
        <v>11</v>
      </c>
      <c r="M14" s="1" t="s">
        <v>161</v>
      </c>
      <c r="N14" s="1" t="s">
        <v>162</v>
      </c>
    </row>
    <row r="15" spans="1:19" ht="21.95" customHeight="1" x14ac:dyDescent="0.25">
      <c r="A15" s="10"/>
      <c r="B15" s="19" t="s">
        <v>163</v>
      </c>
      <c r="C15" s="12" t="s">
        <v>164</v>
      </c>
      <c r="D15" s="2" t="s">
        <v>165</v>
      </c>
      <c r="E15" s="2" t="s">
        <v>166</v>
      </c>
      <c r="F15" s="17" t="s">
        <v>36</v>
      </c>
      <c r="G15" s="12" t="s">
        <v>39</v>
      </c>
      <c r="H15" s="12" t="s">
        <v>3</v>
      </c>
      <c r="I15" s="20" t="s">
        <v>59</v>
      </c>
      <c r="J15" s="20" t="s">
        <v>167</v>
      </c>
      <c r="K15" s="20"/>
      <c r="L15" s="17" t="s">
        <v>13</v>
      </c>
      <c r="M15" s="2" t="s">
        <v>168</v>
      </c>
      <c r="N15" s="2" t="s">
        <v>169</v>
      </c>
    </row>
    <row r="16" spans="1:19" ht="21.95" customHeight="1" x14ac:dyDescent="0.25">
      <c r="A16" s="10"/>
      <c r="B16" s="14" t="s">
        <v>170</v>
      </c>
      <c r="C16" s="15" t="s">
        <v>71</v>
      </c>
      <c r="D16" s="1" t="s">
        <v>171</v>
      </c>
      <c r="E16" s="1" t="s">
        <v>172</v>
      </c>
      <c r="F16" s="16" t="s">
        <v>35</v>
      </c>
      <c r="G16" s="15" t="s">
        <v>39</v>
      </c>
      <c r="H16" s="15" t="s">
        <v>39</v>
      </c>
      <c r="I16" s="18" t="s">
        <v>154</v>
      </c>
      <c r="J16" s="18" t="s">
        <v>173</v>
      </c>
      <c r="K16" s="18" t="s">
        <v>173</v>
      </c>
      <c r="L16" s="26" t="s">
        <v>12</v>
      </c>
      <c r="M16" s="1" t="s">
        <v>174</v>
      </c>
      <c r="N16" s="1" t="s">
        <v>175</v>
      </c>
    </row>
    <row r="17" spans="1:14" ht="21.95" customHeight="1" x14ac:dyDescent="0.25">
      <c r="A17" s="10"/>
      <c r="B17" s="24"/>
      <c r="C17" s="25"/>
      <c r="D17" s="7"/>
      <c r="E17" s="7"/>
      <c r="F17" s="24"/>
      <c r="G17" s="25"/>
      <c r="H17" s="25"/>
      <c r="I17" s="24"/>
      <c r="J17" s="24"/>
      <c r="K17" s="24"/>
      <c r="L17" s="24"/>
      <c r="M17" s="7"/>
      <c r="N17" s="7"/>
    </row>
    <row r="18" spans="1:14" ht="21.95" customHeight="1" x14ac:dyDescent="0.25">
      <c r="A18" s="10"/>
      <c r="B18" s="22"/>
      <c r="C18" s="23"/>
      <c r="D18" s="6"/>
      <c r="E18" s="6"/>
      <c r="F18" s="22"/>
      <c r="G18" s="23"/>
      <c r="H18" s="23"/>
      <c r="I18" s="22"/>
      <c r="J18" s="22"/>
      <c r="K18" s="22"/>
      <c r="L18" s="22"/>
      <c r="M18" s="6"/>
      <c r="N18" s="6"/>
    </row>
    <row r="19" spans="1:14" ht="21.95" customHeight="1" x14ac:dyDescent="0.25">
      <c r="A19" s="10"/>
      <c r="B19" s="24"/>
      <c r="C19" s="25"/>
      <c r="D19" s="7"/>
      <c r="E19" s="7"/>
      <c r="F19" s="24"/>
      <c r="G19" s="25"/>
      <c r="H19" s="25"/>
      <c r="I19" s="24"/>
      <c r="J19" s="24"/>
      <c r="K19" s="24"/>
      <c r="L19" s="24"/>
      <c r="M19" s="7"/>
      <c r="N19" s="7"/>
    </row>
    <row r="20" spans="1:14" ht="21.95" customHeight="1" x14ac:dyDescent="0.25">
      <c r="A20" s="10"/>
      <c r="B20" s="22"/>
      <c r="C20" s="23"/>
      <c r="D20" s="6"/>
      <c r="E20" s="6"/>
      <c r="F20" s="22"/>
      <c r="G20" s="23"/>
      <c r="H20" s="23"/>
      <c r="I20" s="22"/>
      <c r="J20" s="22"/>
      <c r="K20" s="22"/>
      <c r="L20" s="22"/>
      <c r="M20" s="6"/>
      <c r="N20" s="6"/>
    </row>
    <row r="21" spans="1:14" ht="21.95" customHeight="1" x14ac:dyDescent="0.25">
      <c r="A21" s="10"/>
      <c r="B21" s="24"/>
      <c r="C21" s="25"/>
      <c r="D21" s="7"/>
      <c r="E21" s="7"/>
      <c r="F21" s="24"/>
      <c r="G21" s="25"/>
      <c r="H21" s="25"/>
      <c r="I21" s="24"/>
      <c r="J21" s="24"/>
      <c r="K21" s="24"/>
      <c r="L21" s="24"/>
      <c r="M21" s="7"/>
      <c r="N21" s="7"/>
    </row>
    <row r="22" spans="1:14" ht="21.95" customHeight="1" x14ac:dyDescent="0.25">
      <c r="A22" s="10"/>
      <c r="B22" s="22"/>
      <c r="C22" s="23"/>
      <c r="D22" s="6"/>
      <c r="E22" s="6"/>
      <c r="F22" s="22"/>
      <c r="G22" s="23"/>
      <c r="H22" s="23"/>
      <c r="I22" s="22"/>
      <c r="J22" s="22"/>
      <c r="K22" s="22"/>
      <c r="L22" s="22"/>
      <c r="M22" s="6"/>
      <c r="N22" s="6"/>
    </row>
    <row r="23" spans="1:14" ht="21.95" customHeight="1" x14ac:dyDescent="0.25">
      <c r="A23" s="10"/>
      <c r="B23" s="24"/>
      <c r="C23" s="25"/>
      <c r="D23" s="7"/>
      <c r="E23" s="7"/>
      <c r="F23" s="24"/>
      <c r="G23" s="25"/>
      <c r="H23" s="25"/>
      <c r="I23" s="24"/>
      <c r="J23" s="24"/>
      <c r="K23" s="24"/>
      <c r="L23" s="24"/>
      <c r="M23" s="7"/>
      <c r="N23" s="7"/>
    </row>
    <row r="24" spans="1:14" ht="21.95" customHeight="1" x14ac:dyDescent="0.25">
      <c r="A24" s="10"/>
      <c r="B24" s="22"/>
      <c r="C24" s="23"/>
      <c r="D24" s="6"/>
      <c r="E24" s="6"/>
      <c r="F24" s="22"/>
      <c r="G24" s="23"/>
      <c r="H24" s="23"/>
      <c r="I24" s="22"/>
      <c r="J24" s="22"/>
      <c r="K24" s="22"/>
      <c r="L24" s="22"/>
      <c r="M24" s="6"/>
      <c r="N24" s="6"/>
    </row>
    <row r="25" spans="1:14" ht="21.95" customHeight="1" x14ac:dyDescent="0.25">
      <c r="A25" s="10"/>
      <c r="B25" s="24"/>
      <c r="C25" s="25"/>
      <c r="D25" s="7"/>
      <c r="E25" s="7"/>
      <c r="F25" s="24"/>
      <c r="G25" s="25"/>
      <c r="H25" s="25"/>
      <c r="I25" s="24"/>
      <c r="J25" s="24"/>
      <c r="K25" s="24"/>
      <c r="L25" s="24"/>
      <c r="M25" s="7"/>
      <c r="N25" s="7"/>
    </row>
    <row r="26" spans="1:14" ht="21.95" customHeight="1" x14ac:dyDescent="0.25">
      <c r="A26" s="10"/>
      <c r="B26" s="22"/>
      <c r="C26" s="23"/>
      <c r="D26" s="6"/>
      <c r="E26" s="6"/>
      <c r="F26" s="22"/>
      <c r="G26" s="23"/>
      <c r="H26" s="23"/>
      <c r="I26" s="22"/>
      <c r="J26" s="22"/>
      <c r="K26" s="22"/>
      <c r="L26" s="22"/>
      <c r="M26" s="6"/>
      <c r="N26" s="6"/>
    </row>
    <row r="27" spans="1:14" ht="21.95" customHeight="1" x14ac:dyDescent="0.25">
      <c r="A27" s="10"/>
      <c r="B27" s="24"/>
      <c r="C27" s="25"/>
      <c r="D27" s="7"/>
      <c r="E27" s="7"/>
      <c r="F27" s="24"/>
      <c r="G27" s="25"/>
      <c r="H27" s="25"/>
      <c r="I27" s="24"/>
      <c r="J27" s="24"/>
      <c r="K27" s="24"/>
      <c r="L27" s="24"/>
      <c r="M27" s="7"/>
      <c r="N27" s="7"/>
    </row>
    <row r="28" spans="1:14" ht="21.95" customHeight="1" x14ac:dyDescent="0.25">
      <c r="A28" s="10"/>
      <c r="B28" s="22"/>
      <c r="C28" s="23"/>
      <c r="D28" s="6"/>
      <c r="E28" s="6"/>
      <c r="F28" s="22"/>
      <c r="G28" s="23"/>
      <c r="H28" s="23"/>
      <c r="I28" s="22"/>
      <c r="J28" s="22"/>
      <c r="K28" s="22"/>
      <c r="L28" s="22"/>
      <c r="M28" s="6"/>
      <c r="N28" s="6"/>
    </row>
    <row r="29" spans="1:14" ht="21.95" customHeight="1" x14ac:dyDescent="0.25">
      <c r="A29" s="10"/>
      <c r="B29" s="24"/>
      <c r="C29" s="25"/>
      <c r="D29" s="7"/>
      <c r="E29" s="7"/>
      <c r="F29" s="24"/>
      <c r="G29" s="25"/>
      <c r="H29" s="25"/>
      <c r="I29" s="24"/>
      <c r="J29" s="24"/>
      <c r="K29" s="24"/>
      <c r="L29" s="24"/>
      <c r="M29" s="7"/>
      <c r="N29" s="7"/>
    </row>
    <row r="30" spans="1:14" ht="21.95" customHeight="1" x14ac:dyDescent="0.25">
      <c r="A30" s="10"/>
      <c r="B30" s="22"/>
      <c r="C30" s="23"/>
      <c r="D30" s="6"/>
      <c r="E30" s="6"/>
      <c r="F30" s="22"/>
      <c r="G30" s="23"/>
      <c r="H30" s="23"/>
      <c r="I30" s="22"/>
      <c r="J30" s="22"/>
      <c r="K30" s="22"/>
      <c r="L30" s="22"/>
      <c r="M30" s="6"/>
      <c r="N30" s="6"/>
    </row>
    <row r="31" spans="1:14" ht="21.95" customHeight="1" x14ac:dyDescent="0.25">
      <c r="A31" s="10"/>
      <c r="B31" s="24"/>
      <c r="C31" s="25"/>
      <c r="D31" s="7"/>
      <c r="E31" s="7"/>
      <c r="F31" s="24"/>
      <c r="G31" s="25"/>
      <c r="H31" s="25"/>
      <c r="I31" s="24"/>
      <c r="J31" s="24"/>
      <c r="K31" s="24"/>
      <c r="L31" s="24"/>
      <c r="M31" s="7"/>
      <c r="N31" s="7"/>
    </row>
    <row r="32" spans="1:14" ht="21.95" customHeight="1" x14ac:dyDescent="0.25">
      <c r="A32" s="10"/>
      <c r="B32" s="22"/>
      <c r="C32" s="23"/>
      <c r="D32" s="6"/>
      <c r="E32" s="6"/>
      <c r="F32" s="22"/>
      <c r="G32" s="23"/>
      <c r="H32" s="23"/>
      <c r="I32" s="22"/>
      <c r="J32" s="22"/>
      <c r="K32" s="22"/>
      <c r="L32" s="22"/>
      <c r="M32" s="6"/>
      <c r="N32" s="6"/>
    </row>
    <row r="33" spans="1:14" ht="21.95" customHeight="1" x14ac:dyDescent="0.25">
      <c r="A33" s="10"/>
      <c r="B33" s="24"/>
      <c r="C33" s="25"/>
      <c r="D33" s="7"/>
      <c r="E33" s="7"/>
      <c r="F33" s="24"/>
      <c r="G33" s="25"/>
      <c r="H33" s="25"/>
      <c r="I33" s="24"/>
      <c r="J33" s="24"/>
      <c r="K33" s="24"/>
      <c r="L33" s="24"/>
      <c r="M33" s="7"/>
      <c r="N33" s="7"/>
    </row>
    <row r="34" spans="1:14" ht="21.95" customHeight="1" x14ac:dyDescent="0.25">
      <c r="A34" s="10"/>
      <c r="B34" s="22"/>
      <c r="C34" s="23"/>
      <c r="D34" s="6"/>
      <c r="E34" s="6"/>
      <c r="F34" s="22"/>
      <c r="G34" s="23"/>
      <c r="H34" s="23"/>
      <c r="I34" s="22"/>
      <c r="J34" s="22"/>
      <c r="K34" s="22"/>
      <c r="L34" s="22"/>
      <c r="M34" s="6"/>
      <c r="N34" s="6"/>
    </row>
    <row r="35" spans="1:14" ht="21.95" customHeight="1" x14ac:dyDescent="0.25">
      <c r="A35" s="10"/>
      <c r="B35" s="24"/>
      <c r="C35" s="25"/>
      <c r="D35" s="7"/>
      <c r="E35" s="7"/>
      <c r="F35" s="24"/>
      <c r="G35" s="25"/>
      <c r="H35" s="25"/>
      <c r="I35" s="24"/>
      <c r="J35" s="24"/>
      <c r="K35" s="24"/>
      <c r="L35" s="24"/>
      <c r="M35" s="7"/>
      <c r="N35" s="7"/>
    </row>
    <row r="36" spans="1:14" ht="21.95" customHeight="1" x14ac:dyDescent="0.25">
      <c r="A36" s="10"/>
      <c r="B36" s="22"/>
      <c r="C36" s="23"/>
      <c r="D36" s="6"/>
      <c r="E36" s="6"/>
      <c r="F36" s="22"/>
      <c r="G36" s="23"/>
      <c r="H36" s="23"/>
      <c r="I36" s="22"/>
      <c r="J36" s="22"/>
      <c r="K36" s="22"/>
      <c r="L36" s="22"/>
      <c r="M36" s="6"/>
      <c r="N36" s="6"/>
    </row>
    <row r="37" spans="1:14" ht="21.95" customHeight="1" x14ac:dyDescent="0.25">
      <c r="A37" s="10"/>
      <c r="B37" s="24"/>
      <c r="C37" s="25"/>
      <c r="D37" s="7"/>
      <c r="E37" s="7"/>
      <c r="F37" s="24"/>
      <c r="G37" s="25"/>
      <c r="H37" s="25"/>
      <c r="I37" s="24"/>
      <c r="J37" s="24"/>
      <c r="K37" s="24"/>
      <c r="L37" s="24"/>
      <c r="M37" s="7"/>
      <c r="N37" s="7"/>
    </row>
    <row r="38" spans="1:14" ht="21.95" customHeight="1" x14ac:dyDescent="0.25">
      <c r="A38" s="10"/>
      <c r="B38" s="22"/>
      <c r="C38" s="23"/>
      <c r="D38" s="6"/>
      <c r="E38" s="6"/>
      <c r="F38" s="22"/>
      <c r="G38" s="23"/>
      <c r="H38" s="23"/>
      <c r="I38" s="22"/>
      <c r="J38" s="22"/>
      <c r="K38" s="22"/>
      <c r="L38" s="22"/>
      <c r="M38" s="6"/>
      <c r="N38" s="6"/>
    </row>
    <row r="39" spans="1:14" ht="21.95" customHeight="1" x14ac:dyDescent="0.25">
      <c r="A39" s="10"/>
      <c r="B39" s="24"/>
      <c r="C39" s="25"/>
      <c r="D39" s="7"/>
      <c r="E39" s="7"/>
      <c r="F39" s="24"/>
      <c r="G39" s="25"/>
      <c r="H39" s="25"/>
      <c r="I39" s="24"/>
      <c r="J39" s="24"/>
      <c r="K39" s="24"/>
      <c r="L39" s="24"/>
      <c r="M39" s="7"/>
      <c r="N39" s="7"/>
    </row>
    <row r="40" spans="1:14" ht="21.95" customHeight="1" x14ac:dyDescent="0.25">
      <c r="A40" s="10"/>
      <c r="B40" s="22"/>
      <c r="C40" s="23"/>
      <c r="D40" s="6"/>
      <c r="E40" s="6"/>
      <c r="F40" s="22"/>
      <c r="G40" s="23"/>
      <c r="H40" s="23"/>
      <c r="I40" s="22"/>
      <c r="J40" s="22"/>
      <c r="K40" s="22"/>
      <c r="L40" s="22"/>
      <c r="M40" s="6"/>
      <c r="N40" s="6"/>
    </row>
    <row r="41" spans="1:14" ht="21.95" customHeight="1" x14ac:dyDescent="0.25">
      <c r="A41" s="10"/>
      <c r="B41" s="24"/>
      <c r="C41" s="25"/>
      <c r="D41" s="7"/>
      <c r="E41" s="7"/>
      <c r="F41" s="24"/>
      <c r="G41" s="25"/>
      <c r="H41" s="25"/>
      <c r="I41" s="24"/>
      <c r="J41" s="24"/>
      <c r="K41" s="24"/>
      <c r="L41" s="24"/>
      <c r="M41" s="7"/>
      <c r="N41" s="7"/>
    </row>
    <row r="42" spans="1:14" ht="21.95" customHeight="1" x14ac:dyDescent="0.25">
      <c r="A42" s="10"/>
      <c r="B42" s="22"/>
      <c r="C42" s="23"/>
      <c r="D42" s="6"/>
      <c r="E42" s="6"/>
      <c r="F42" s="22"/>
      <c r="G42" s="23"/>
      <c r="H42" s="23"/>
      <c r="I42" s="22"/>
      <c r="J42" s="22"/>
      <c r="K42" s="22"/>
      <c r="L42" s="22"/>
      <c r="M42" s="6"/>
      <c r="N42" s="6"/>
    </row>
    <row r="43" spans="1:14" ht="21.95" customHeight="1" x14ac:dyDescent="0.25">
      <c r="A43" s="10"/>
      <c r="B43" s="24"/>
      <c r="C43" s="25"/>
      <c r="D43" s="7"/>
      <c r="E43" s="7"/>
      <c r="F43" s="24"/>
      <c r="G43" s="25"/>
      <c r="H43" s="25"/>
      <c r="I43" s="24"/>
      <c r="J43" s="24"/>
      <c r="K43" s="24"/>
      <c r="L43" s="24"/>
      <c r="M43" s="7"/>
      <c r="N43" s="7"/>
    </row>
    <row r="44" spans="1:14" ht="21.95" customHeight="1" x14ac:dyDescent="0.25">
      <c r="A44" s="10"/>
      <c r="B44" s="22"/>
      <c r="C44" s="23"/>
      <c r="D44" s="6"/>
      <c r="E44" s="6"/>
      <c r="F44" s="22"/>
      <c r="G44" s="23"/>
      <c r="H44" s="23"/>
      <c r="I44" s="22"/>
      <c r="J44" s="22"/>
      <c r="K44" s="22"/>
      <c r="L44" s="22"/>
      <c r="M44" s="6"/>
      <c r="N44" s="6"/>
    </row>
    <row r="45" spans="1:14" ht="21.95" customHeight="1" x14ac:dyDescent="0.25">
      <c r="A45" s="10"/>
      <c r="B45" s="24"/>
      <c r="C45" s="25"/>
      <c r="D45" s="7"/>
      <c r="E45" s="7"/>
      <c r="F45" s="24"/>
      <c r="G45" s="25"/>
      <c r="H45" s="25"/>
      <c r="I45" s="24"/>
      <c r="J45" s="24"/>
      <c r="K45" s="24"/>
      <c r="L45" s="24"/>
      <c r="M45" s="7"/>
      <c r="N45" s="7"/>
    </row>
    <row r="46" spans="1:14" ht="21.95" customHeight="1" x14ac:dyDescent="0.25">
      <c r="A46" s="10"/>
      <c r="B46" s="22"/>
      <c r="C46" s="23"/>
      <c r="D46" s="6"/>
      <c r="E46" s="6"/>
      <c r="F46" s="22"/>
      <c r="G46" s="23"/>
      <c r="H46" s="23"/>
      <c r="I46" s="22"/>
      <c r="J46" s="22"/>
      <c r="K46" s="22"/>
      <c r="L46" s="22"/>
      <c r="M46" s="6"/>
      <c r="N46" s="6"/>
    </row>
    <row r="47" spans="1:14" ht="21.95" customHeight="1" x14ac:dyDescent="0.25">
      <c r="A47" s="10"/>
      <c r="B47" s="24"/>
      <c r="C47" s="25"/>
      <c r="D47" s="7"/>
      <c r="E47" s="7"/>
      <c r="F47" s="24"/>
      <c r="G47" s="25"/>
      <c r="H47" s="25"/>
      <c r="I47" s="24"/>
      <c r="J47" s="24"/>
      <c r="K47" s="24"/>
      <c r="L47" s="24"/>
      <c r="M47" s="7"/>
      <c r="N47" s="7"/>
    </row>
    <row r="48" spans="1:14" ht="21.95" customHeight="1" x14ac:dyDescent="0.25">
      <c r="A48" s="10"/>
      <c r="B48" s="22"/>
      <c r="C48" s="23"/>
      <c r="D48" s="6"/>
      <c r="E48" s="6"/>
      <c r="F48" s="22"/>
      <c r="G48" s="23"/>
      <c r="H48" s="23"/>
      <c r="I48" s="22"/>
      <c r="J48" s="22"/>
      <c r="K48" s="22"/>
      <c r="L48" s="22"/>
      <c r="M48" s="6"/>
      <c r="N48" s="6"/>
    </row>
    <row r="49" spans="1:14" ht="21.95" customHeight="1" x14ac:dyDescent="0.25">
      <c r="A49" s="10"/>
      <c r="B49" s="24"/>
      <c r="C49" s="25"/>
      <c r="D49" s="7"/>
      <c r="E49" s="7"/>
      <c r="F49" s="24"/>
      <c r="G49" s="25"/>
      <c r="H49" s="25"/>
      <c r="I49" s="24"/>
      <c r="J49" s="24"/>
      <c r="K49" s="24"/>
      <c r="L49" s="24"/>
      <c r="M49" s="7"/>
      <c r="N49" s="7"/>
    </row>
    <row r="50" spans="1:14" ht="21.95" customHeight="1" x14ac:dyDescent="0.25">
      <c r="A50" s="10"/>
      <c r="B50" s="22"/>
      <c r="C50" s="23"/>
      <c r="D50" s="6"/>
      <c r="E50" s="6"/>
      <c r="F50" s="22"/>
      <c r="G50" s="23"/>
      <c r="H50" s="23"/>
      <c r="I50" s="22"/>
      <c r="J50" s="22"/>
      <c r="K50" s="22"/>
      <c r="L50" s="22"/>
      <c r="M50" s="6"/>
      <c r="N50" s="6"/>
    </row>
    <row r="51" spans="1:14" ht="21.95" customHeight="1" x14ac:dyDescent="0.25">
      <c r="A51" s="10"/>
      <c r="B51" s="24"/>
      <c r="C51" s="25"/>
      <c r="D51" s="7"/>
      <c r="E51" s="7"/>
      <c r="F51" s="24"/>
      <c r="G51" s="25"/>
      <c r="H51" s="25"/>
      <c r="I51" s="24"/>
      <c r="J51" s="24"/>
      <c r="K51" s="24"/>
      <c r="L51" s="24"/>
      <c r="M51" s="7"/>
      <c r="N51" s="7"/>
    </row>
    <row r="52" spans="1:14" ht="21.95" customHeight="1" x14ac:dyDescent="0.25">
      <c r="A52" s="10"/>
      <c r="B52" s="22"/>
      <c r="C52" s="23"/>
      <c r="D52" s="6"/>
      <c r="E52" s="6"/>
      <c r="F52" s="22"/>
      <c r="G52" s="23"/>
      <c r="H52" s="23"/>
      <c r="I52" s="22"/>
      <c r="J52" s="22"/>
      <c r="K52" s="22"/>
      <c r="L52" s="22"/>
      <c r="M52" s="6"/>
      <c r="N52" s="6"/>
    </row>
    <row r="53" spans="1:14" ht="21.95" customHeight="1" x14ac:dyDescent="0.25">
      <c r="A53" s="10"/>
      <c r="B53" s="24"/>
      <c r="C53" s="25"/>
      <c r="D53" s="7"/>
      <c r="E53" s="7"/>
      <c r="F53" s="24"/>
      <c r="G53" s="25"/>
      <c r="H53" s="25"/>
      <c r="I53" s="24"/>
      <c r="J53" s="24"/>
      <c r="K53" s="24"/>
      <c r="L53" s="24"/>
      <c r="M53" s="7"/>
      <c r="N53" s="7"/>
    </row>
    <row r="54" spans="1:14" ht="21.95" customHeight="1" x14ac:dyDescent="0.25">
      <c r="A54" s="10"/>
      <c r="B54" s="22"/>
      <c r="C54" s="23"/>
      <c r="D54" s="6"/>
      <c r="E54" s="6"/>
      <c r="F54" s="22"/>
      <c r="G54" s="23"/>
      <c r="H54" s="23"/>
      <c r="I54" s="22"/>
      <c r="J54" s="22"/>
      <c r="K54" s="22"/>
      <c r="L54" s="22"/>
      <c r="M54" s="6"/>
      <c r="N54" s="6"/>
    </row>
    <row r="55" spans="1:14" ht="21.95" customHeight="1" x14ac:dyDescent="0.25">
      <c r="A55" s="10"/>
      <c r="B55" s="24"/>
      <c r="C55" s="25"/>
      <c r="D55" s="7"/>
      <c r="E55" s="7"/>
      <c r="F55" s="24"/>
      <c r="G55" s="25"/>
      <c r="H55" s="25"/>
      <c r="I55" s="24"/>
      <c r="J55" s="24"/>
      <c r="K55" s="24"/>
      <c r="L55" s="24"/>
      <c r="M55" s="7"/>
      <c r="N55" s="7"/>
    </row>
    <row r="56" spans="1:14" ht="21.95" customHeight="1" x14ac:dyDescent="0.25">
      <c r="A56" s="10"/>
      <c r="B56" s="22"/>
      <c r="C56" s="23"/>
      <c r="D56" s="6"/>
      <c r="E56" s="6"/>
      <c r="F56" s="22"/>
      <c r="G56" s="23"/>
      <c r="H56" s="23"/>
      <c r="I56" s="22"/>
      <c r="J56" s="22"/>
      <c r="K56" s="22"/>
      <c r="L56" s="22"/>
      <c r="M56" s="6"/>
      <c r="N56" s="6"/>
    </row>
    <row r="57" spans="1:14" ht="21.95" customHeight="1" x14ac:dyDescent="0.25">
      <c r="A57" s="10"/>
      <c r="B57" s="24"/>
      <c r="C57" s="25"/>
      <c r="D57" s="7"/>
      <c r="E57" s="7"/>
      <c r="F57" s="24"/>
      <c r="G57" s="25"/>
      <c r="H57" s="25"/>
      <c r="I57" s="24"/>
      <c r="J57" s="24"/>
      <c r="K57" s="24"/>
      <c r="L57" s="24"/>
      <c r="M57" s="7"/>
      <c r="N57" s="7"/>
    </row>
    <row r="58" spans="1:14" ht="21.95" customHeight="1" x14ac:dyDescent="0.25">
      <c r="A58" s="10"/>
      <c r="B58" s="22"/>
      <c r="C58" s="23"/>
      <c r="D58" s="6"/>
      <c r="E58" s="6"/>
      <c r="F58" s="22"/>
      <c r="G58" s="23"/>
      <c r="H58" s="23"/>
      <c r="I58" s="22"/>
      <c r="J58" s="22"/>
      <c r="K58" s="22"/>
      <c r="L58" s="22"/>
      <c r="M58" s="6"/>
      <c r="N58" s="6"/>
    </row>
    <row r="59" spans="1:14" ht="21.95" customHeight="1" x14ac:dyDescent="0.25">
      <c r="A59" s="10"/>
      <c r="B59" s="24"/>
      <c r="C59" s="25"/>
      <c r="D59" s="7"/>
      <c r="E59" s="7"/>
      <c r="F59" s="24"/>
      <c r="G59" s="25"/>
      <c r="H59" s="25"/>
      <c r="I59" s="24"/>
      <c r="J59" s="24"/>
      <c r="K59" s="24"/>
      <c r="L59" s="24"/>
      <c r="M59" s="7"/>
      <c r="N59" s="7"/>
    </row>
    <row r="60" spans="1:14" ht="21.95" customHeight="1" x14ac:dyDescent="0.25">
      <c r="A60" s="10"/>
      <c r="B60" s="22"/>
      <c r="C60" s="23"/>
      <c r="D60" s="6"/>
      <c r="E60" s="6"/>
      <c r="F60" s="22"/>
      <c r="G60" s="23"/>
      <c r="H60" s="23"/>
      <c r="I60" s="22"/>
      <c r="J60" s="22"/>
      <c r="K60" s="22"/>
      <c r="L60" s="22"/>
      <c r="M60" s="6"/>
      <c r="N60" s="6"/>
    </row>
    <row r="61" spans="1:14" ht="21.95" customHeight="1" x14ac:dyDescent="0.25">
      <c r="A61" s="10"/>
      <c r="B61" s="24"/>
      <c r="C61" s="25"/>
      <c r="D61" s="7"/>
      <c r="E61" s="7"/>
      <c r="F61" s="24"/>
      <c r="G61" s="25"/>
      <c r="H61" s="25"/>
      <c r="I61" s="24"/>
      <c r="J61" s="24"/>
      <c r="K61" s="24"/>
      <c r="L61" s="24"/>
      <c r="M61" s="7"/>
      <c r="N61" s="7"/>
    </row>
  </sheetData>
  <mergeCells count="15">
    <mergeCell ref="B2:N2"/>
    <mergeCell ref="H9:I9"/>
    <mergeCell ref="F9:G9"/>
    <mergeCell ref="L9:M9"/>
    <mergeCell ref="F8:G8"/>
    <mergeCell ref="D8:E8"/>
    <mergeCell ref="H8:I8"/>
    <mergeCell ref="B4:N4"/>
    <mergeCell ref="L8:M8"/>
    <mergeCell ref="J9:K9"/>
    <mergeCell ref="J8:K8"/>
    <mergeCell ref="B7:N7"/>
    <mergeCell ref="B9:C9"/>
    <mergeCell ref="D9:E9"/>
    <mergeCell ref="B8:C8"/>
  </mergeCells>
  <pageMargins left="0.75" right="0.75" top="1" bottom="1" header="0.5" footer="0.5"/>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1"/>
  <sheetViews>
    <sheetView showGridLines="0" workbookViewId="0">
      <pane xSplit="1" ySplit="11" topLeftCell="B12" activePane="bottomRight" state="frozen"/>
      <selection pane="topRight"/>
      <selection pane="bottomLeft"/>
      <selection pane="bottomRight"/>
    </sheetView>
  </sheetViews>
  <sheetFormatPr defaultRowHeight="15" x14ac:dyDescent="0.25"/>
  <cols>
    <col min="1" max="1" width="2" customWidth="1"/>
    <col min="2" max="2" width="9" customWidth="1"/>
    <col min="3" max="3" width="16" customWidth="1"/>
    <col min="4" max="4" width="32" customWidth="1"/>
    <col min="5" max="5" width="26" customWidth="1"/>
    <col min="6" max="6" width="18" customWidth="1"/>
    <col min="7" max="7" width="20" customWidth="1"/>
    <col min="8" max="9" width="13" customWidth="1"/>
    <col min="10" max="11" width="26" customWidth="1"/>
    <col min="12" max="12" width="24" customWidth="1"/>
    <col min="13" max="13" width="2" customWidth="1"/>
  </cols>
  <sheetData>
    <row r="1" spans="1:19" ht="6" customHeight="1" x14ac:dyDescent="0.25">
      <c r="A1" s="10"/>
      <c r="B1" s="10"/>
      <c r="C1" s="10"/>
      <c r="D1" s="3"/>
      <c r="E1" s="3"/>
      <c r="F1" s="10"/>
      <c r="G1" s="10"/>
      <c r="H1" s="10"/>
      <c r="I1" s="10"/>
      <c r="J1" s="3"/>
      <c r="K1" s="3"/>
      <c r="L1" s="3"/>
      <c r="M1" s="10"/>
      <c r="N1" s="10"/>
    </row>
    <row r="2" spans="1:19" ht="33.950000000000003" customHeight="1" x14ac:dyDescent="0.25">
      <c r="A2" s="10"/>
      <c r="B2" s="37" t="s">
        <v>176</v>
      </c>
      <c r="C2" s="38"/>
      <c r="D2" s="38"/>
      <c r="E2" s="38"/>
      <c r="F2" s="38"/>
      <c r="G2" s="38"/>
      <c r="H2" s="38"/>
      <c r="I2" s="38"/>
      <c r="J2" s="38"/>
      <c r="K2" s="38"/>
      <c r="L2" s="38"/>
      <c r="M2" s="10"/>
      <c r="N2" s="10"/>
    </row>
    <row r="3" spans="1:19" ht="6" customHeight="1" x14ac:dyDescent="0.25">
      <c r="A3" s="10"/>
      <c r="B3" s="10"/>
      <c r="C3" s="10"/>
      <c r="D3" s="3"/>
      <c r="E3" s="3"/>
      <c r="F3" s="10"/>
      <c r="G3" s="10"/>
      <c r="H3" s="10"/>
      <c r="I3" s="10"/>
      <c r="J3" s="3"/>
      <c r="K3" s="3"/>
      <c r="L3" s="3"/>
      <c r="M3" s="10"/>
      <c r="N3" s="10"/>
    </row>
    <row r="4" spans="1:19" ht="20.100000000000001" customHeight="1" x14ac:dyDescent="0.25">
      <c r="A4" s="10"/>
      <c r="B4" s="32" t="s">
        <v>1</v>
      </c>
      <c r="C4" s="33"/>
      <c r="D4" s="33"/>
      <c r="E4" s="33"/>
      <c r="F4" s="33"/>
      <c r="G4" s="33"/>
      <c r="H4" s="33"/>
      <c r="I4" s="33"/>
      <c r="J4" s="33"/>
      <c r="K4" s="33"/>
      <c r="L4" s="34"/>
      <c r="M4" s="10"/>
      <c r="N4" s="10"/>
    </row>
    <row r="5" spans="1:19" ht="20.100000000000001" customHeight="1" x14ac:dyDescent="0.25">
      <c r="A5" s="10"/>
      <c r="B5" s="11" t="s">
        <v>2</v>
      </c>
      <c r="C5" s="12"/>
      <c r="F5" s="11" t="s">
        <v>3</v>
      </c>
      <c r="G5" s="12"/>
      <c r="I5" s="11" t="s">
        <v>4</v>
      </c>
      <c r="J5" s="2" t="s">
        <v>5</v>
      </c>
      <c r="K5" s="27" t="s">
        <v>8</v>
      </c>
      <c r="L5" s="28"/>
      <c r="M5" s="30"/>
      <c r="N5" s="31"/>
      <c r="O5" s="29"/>
      <c r="P5" s="29"/>
      <c r="Q5" s="29"/>
      <c r="R5" s="29"/>
      <c r="S5" s="29"/>
    </row>
    <row r="6" spans="1:19" ht="6" customHeight="1" x14ac:dyDescent="0.25">
      <c r="A6" s="10"/>
      <c r="B6" s="10"/>
      <c r="C6" s="10"/>
      <c r="D6" s="3"/>
      <c r="E6" s="3"/>
      <c r="F6" s="10"/>
      <c r="G6" s="10"/>
      <c r="H6" s="10"/>
      <c r="I6" s="10"/>
      <c r="J6" s="3"/>
      <c r="K6" s="3"/>
      <c r="L6" s="3"/>
      <c r="M6" s="10"/>
      <c r="N6" s="10"/>
    </row>
    <row r="7" spans="1:19" ht="20.100000000000001" customHeight="1" x14ac:dyDescent="0.25">
      <c r="A7" s="10"/>
      <c r="B7" s="32" t="s">
        <v>177</v>
      </c>
      <c r="C7" s="33"/>
      <c r="D7" s="33"/>
      <c r="E7" s="33"/>
      <c r="F7" s="33"/>
      <c r="G7" s="33"/>
      <c r="H7" s="33"/>
      <c r="I7" s="33"/>
      <c r="J7" s="33"/>
      <c r="K7" s="33"/>
      <c r="L7" s="34"/>
      <c r="M7" s="10"/>
      <c r="N7" s="10"/>
    </row>
    <row r="8" spans="1:19" ht="18" customHeight="1" x14ac:dyDescent="0.25">
      <c r="A8" s="10"/>
      <c r="B8" s="40" t="s">
        <v>87</v>
      </c>
      <c r="C8" s="34"/>
      <c r="D8" s="45" t="s">
        <v>11</v>
      </c>
      <c r="E8" s="34"/>
      <c r="F8" s="40" t="s">
        <v>178</v>
      </c>
      <c r="G8" s="34"/>
      <c r="H8" s="40" t="s">
        <v>179</v>
      </c>
      <c r="I8" s="34"/>
      <c r="J8" s="45" t="s">
        <v>180</v>
      </c>
      <c r="K8" s="34"/>
      <c r="L8" s="8"/>
      <c r="M8" s="10"/>
      <c r="N8" s="10"/>
    </row>
    <row r="9" spans="1:19" ht="32.1" customHeight="1" x14ac:dyDescent="0.25">
      <c r="A9" s="10"/>
      <c r="B9" s="41">
        <f>COUNTA(D12:D61)</f>
        <v>6</v>
      </c>
      <c r="C9" s="34"/>
      <c r="D9" s="42">
        <f>COUNTIF(I12:I61,"OPEN")</f>
        <v>1</v>
      </c>
      <c r="E9" s="34"/>
      <c r="F9" s="43">
        <f>COUNTIF(I12:I61,"MET")</f>
        <v>4</v>
      </c>
      <c r="G9" s="34"/>
      <c r="H9" s="35">
        <f>COUNTIF(I12:I61,"AT RISK")</f>
        <v>1</v>
      </c>
      <c r="I9" s="34"/>
      <c r="J9" s="36">
        <f>COUNTIF(I12:I61,"BLOCKED")</f>
        <v>0</v>
      </c>
      <c r="K9" s="34"/>
      <c r="L9" s="9"/>
      <c r="M9" s="10"/>
      <c r="N9" s="10"/>
    </row>
    <row r="10" spans="1:19" ht="6" customHeight="1" x14ac:dyDescent="0.25">
      <c r="A10" s="10"/>
      <c r="B10" s="10"/>
      <c r="C10" s="10"/>
      <c r="D10" s="3"/>
      <c r="E10" s="3"/>
      <c r="F10" s="10"/>
      <c r="G10" s="10"/>
      <c r="H10" s="10"/>
      <c r="I10" s="10"/>
      <c r="J10" s="3"/>
      <c r="K10" s="3"/>
      <c r="L10" s="3"/>
      <c r="M10" s="10"/>
      <c r="N10" s="10"/>
    </row>
    <row r="11" spans="1:19" ht="20.100000000000001" customHeight="1" x14ac:dyDescent="0.25">
      <c r="A11" s="10"/>
      <c r="B11" s="13" t="s">
        <v>181</v>
      </c>
      <c r="C11" s="13" t="s">
        <v>182</v>
      </c>
      <c r="D11" s="5" t="s">
        <v>183</v>
      </c>
      <c r="E11" s="5" t="s">
        <v>184</v>
      </c>
      <c r="F11" s="13" t="s">
        <v>26</v>
      </c>
      <c r="G11" s="13" t="s">
        <v>185</v>
      </c>
      <c r="H11" s="13" t="s">
        <v>186</v>
      </c>
      <c r="I11" s="13" t="s">
        <v>29</v>
      </c>
      <c r="J11" s="5" t="s">
        <v>187</v>
      </c>
      <c r="K11" s="5" t="s">
        <v>188</v>
      </c>
      <c r="L11" s="5" t="s">
        <v>30</v>
      </c>
      <c r="M11" s="10"/>
      <c r="N11" s="10"/>
    </row>
    <row r="12" spans="1:19" ht="21.95" customHeight="1" x14ac:dyDescent="0.25">
      <c r="A12" s="10"/>
      <c r="B12" s="14" t="s">
        <v>189</v>
      </c>
      <c r="C12" s="15" t="s">
        <v>190</v>
      </c>
      <c r="D12" s="1" t="s">
        <v>191</v>
      </c>
      <c r="E12" s="1" t="s">
        <v>192</v>
      </c>
      <c r="F12" s="15" t="s">
        <v>58</v>
      </c>
      <c r="G12" s="15" t="s">
        <v>193</v>
      </c>
      <c r="H12" s="18" t="s">
        <v>59</v>
      </c>
      <c r="I12" s="21" t="s">
        <v>178</v>
      </c>
      <c r="J12" s="1" t="s">
        <v>194</v>
      </c>
      <c r="K12" s="1" t="s">
        <v>195</v>
      </c>
      <c r="L12" s="1" t="s">
        <v>196</v>
      </c>
      <c r="M12" s="10"/>
      <c r="N12" s="10"/>
    </row>
    <row r="13" spans="1:19" ht="21.95" customHeight="1" x14ac:dyDescent="0.25">
      <c r="A13" s="10"/>
      <c r="B13" s="19" t="s">
        <v>197</v>
      </c>
      <c r="C13" s="12" t="s">
        <v>190</v>
      </c>
      <c r="D13" s="2" t="s">
        <v>198</v>
      </c>
      <c r="E13" s="2" t="s">
        <v>199</v>
      </c>
      <c r="F13" s="12" t="s">
        <v>39</v>
      </c>
      <c r="G13" s="12" t="s">
        <v>200</v>
      </c>
      <c r="H13" s="20" t="s">
        <v>201</v>
      </c>
      <c r="I13" s="16" t="s">
        <v>11</v>
      </c>
      <c r="J13" s="2" t="s">
        <v>202</v>
      </c>
      <c r="K13" s="2" t="s">
        <v>203</v>
      </c>
      <c r="L13" s="2" t="s">
        <v>204</v>
      </c>
      <c r="M13" s="10"/>
      <c r="N13" s="10"/>
    </row>
    <row r="14" spans="1:19" ht="21.95" customHeight="1" x14ac:dyDescent="0.25">
      <c r="A14" s="10"/>
      <c r="B14" s="14" t="s">
        <v>205</v>
      </c>
      <c r="C14" s="15" t="s">
        <v>206</v>
      </c>
      <c r="D14" s="1" t="s">
        <v>207</v>
      </c>
      <c r="E14" s="1" t="s">
        <v>208</v>
      </c>
      <c r="F14" s="15" t="s">
        <v>49</v>
      </c>
      <c r="G14" s="15" t="s">
        <v>114</v>
      </c>
      <c r="H14" s="18" t="s">
        <v>68</v>
      </c>
      <c r="I14" s="21" t="s">
        <v>178</v>
      </c>
      <c r="J14" s="1" t="s">
        <v>209</v>
      </c>
      <c r="K14" s="1" t="s">
        <v>210</v>
      </c>
      <c r="L14" s="1" t="s">
        <v>211</v>
      </c>
      <c r="M14" s="10"/>
      <c r="N14" s="10"/>
    </row>
    <row r="15" spans="1:19" ht="21.95" customHeight="1" x14ac:dyDescent="0.25">
      <c r="A15" s="10"/>
      <c r="B15" s="19" t="s">
        <v>212</v>
      </c>
      <c r="C15" s="12" t="s">
        <v>206</v>
      </c>
      <c r="D15" s="2" t="s">
        <v>213</v>
      </c>
      <c r="E15" s="2" t="s">
        <v>214</v>
      </c>
      <c r="F15" s="12" t="s">
        <v>39</v>
      </c>
      <c r="G15" s="12" t="s">
        <v>3</v>
      </c>
      <c r="H15" s="20" t="s">
        <v>215</v>
      </c>
      <c r="I15" s="21" t="s">
        <v>178</v>
      </c>
      <c r="J15" s="2" t="s">
        <v>216</v>
      </c>
      <c r="K15" s="2" t="s">
        <v>217</v>
      </c>
      <c r="L15" s="2" t="s">
        <v>218</v>
      </c>
      <c r="M15" s="10"/>
      <c r="N15" s="10"/>
    </row>
    <row r="16" spans="1:19" ht="21.95" customHeight="1" x14ac:dyDescent="0.25">
      <c r="A16" s="10"/>
      <c r="B16" s="14" t="s">
        <v>219</v>
      </c>
      <c r="C16" s="15" t="s">
        <v>190</v>
      </c>
      <c r="D16" s="1" t="s">
        <v>220</v>
      </c>
      <c r="E16" s="1" t="s">
        <v>221</v>
      </c>
      <c r="F16" s="15" t="s">
        <v>39</v>
      </c>
      <c r="G16" s="15" t="s">
        <v>114</v>
      </c>
      <c r="H16" s="18" t="s">
        <v>160</v>
      </c>
      <c r="I16" s="17" t="s">
        <v>179</v>
      </c>
      <c r="J16" s="1" t="s">
        <v>222</v>
      </c>
      <c r="K16" s="1" t="s">
        <v>223</v>
      </c>
      <c r="L16" s="1" t="s">
        <v>224</v>
      </c>
      <c r="M16" s="10"/>
      <c r="N16" s="10"/>
    </row>
    <row r="17" spans="1:14" ht="21.95" customHeight="1" x14ac:dyDescent="0.25">
      <c r="A17" s="10"/>
      <c r="B17" s="19" t="s">
        <v>225</v>
      </c>
      <c r="C17" s="12" t="s">
        <v>190</v>
      </c>
      <c r="D17" s="2" t="s">
        <v>226</v>
      </c>
      <c r="E17" s="2" t="s">
        <v>227</v>
      </c>
      <c r="F17" s="12" t="s">
        <v>39</v>
      </c>
      <c r="G17" s="12" t="s">
        <v>228</v>
      </c>
      <c r="H17" s="20" t="s">
        <v>59</v>
      </c>
      <c r="I17" s="21" t="s">
        <v>178</v>
      </c>
      <c r="J17" s="2" t="s">
        <v>229</v>
      </c>
      <c r="K17" s="2" t="s">
        <v>230</v>
      </c>
      <c r="L17" s="2" t="s">
        <v>231</v>
      </c>
      <c r="M17" s="10"/>
      <c r="N17" s="10"/>
    </row>
    <row r="18" spans="1:14" ht="21.95" customHeight="1" x14ac:dyDescent="0.25">
      <c r="A18" s="10"/>
      <c r="B18" s="22"/>
      <c r="C18" s="22"/>
      <c r="D18" s="6"/>
      <c r="E18" s="6"/>
      <c r="F18" s="23"/>
      <c r="G18" s="23"/>
      <c r="H18" s="22"/>
      <c r="I18" s="22"/>
      <c r="J18" s="6"/>
      <c r="K18" s="6"/>
      <c r="L18" s="6"/>
      <c r="M18" s="10"/>
      <c r="N18" s="10"/>
    </row>
    <row r="19" spans="1:14" ht="21.95" customHeight="1" x14ac:dyDescent="0.25">
      <c r="A19" s="10"/>
      <c r="B19" s="24"/>
      <c r="C19" s="24"/>
      <c r="D19" s="7"/>
      <c r="E19" s="7"/>
      <c r="F19" s="25"/>
      <c r="G19" s="25"/>
      <c r="H19" s="24"/>
      <c r="I19" s="24"/>
      <c r="J19" s="7"/>
      <c r="K19" s="7"/>
      <c r="L19" s="7"/>
      <c r="M19" s="10"/>
      <c r="N19" s="10"/>
    </row>
    <row r="20" spans="1:14" ht="21.95" customHeight="1" x14ac:dyDescent="0.25">
      <c r="A20" s="10"/>
      <c r="B20" s="22"/>
      <c r="C20" s="22"/>
      <c r="D20" s="6"/>
      <c r="E20" s="6"/>
      <c r="F20" s="23"/>
      <c r="G20" s="23"/>
      <c r="H20" s="22"/>
      <c r="I20" s="22"/>
      <c r="J20" s="6"/>
      <c r="K20" s="6"/>
      <c r="L20" s="6"/>
      <c r="M20" s="10"/>
      <c r="N20" s="10"/>
    </row>
    <row r="21" spans="1:14" ht="21.95" customHeight="1" x14ac:dyDescent="0.25">
      <c r="A21" s="10"/>
      <c r="B21" s="24"/>
      <c r="C21" s="24"/>
      <c r="D21" s="7"/>
      <c r="E21" s="7"/>
      <c r="F21" s="25"/>
      <c r="G21" s="25"/>
      <c r="H21" s="24"/>
      <c r="I21" s="24"/>
      <c r="J21" s="7"/>
      <c r="K21" s="7"/>
      <c r="L21" s="7"/>
      <c r="M21" s="10"/>
      <c r="N21" s="10"/>
    </row>
    <row r="22" spans="1:14" ht="21.95" customHeight="1" x14ac:dyDescent="0.25">
      <c r="A22" s="10"/>
      <c r="B22" s="22"/>
      <c r="C22" s="22"/>
      <c r="D22" s="6"/>
      <c r="E22" s="6"/>
      <c r="F22" s="23"/>
      <c r="G22" s="23"/>
      <c r="H22" s="22"/>
      <c r="I22" s="22"/>
      <c r="J22" s="6"/>
      <c r="K22" s="6"/>
      <c r="L22" s="6"/>
      <c r="M22" s="10"/>
      <c r="N22" s="10"/>
    </row>
    <row r="23" spans="1:14" ht="21.95" customHeight="1" x14ac:dyDescent="0.25">
      <c r="A23" s="10"/>
      <c r="B23" s="24"/>
      <c r="C23" s="24"/>
      <c r="D23" s="7"/>
      <c r="E23" s="7"/>
      <c r="F23" s="25"/>
      <c r="G23" s="25"/>
      <c r="H23" s="24"/>
      <c r="I23" s="24"/>
      <c r="J23" s="7"/>
      <c r="K23" s="7"/>
      <c r="L23" s="7"/>
      <c r="M23" s="10"/>
      <c r="N23" s="10"/>
    </row>
    <row r="24" spans="1:14" ht="21.95" customHeight="1" x14ac:dyDescent="0.25">
      <c r="A24" s="10"/>
      <c r="B24" s="22"/>
      <c r="C24" s="22"/>
      <c r="D24" s="6"/>
      <c r="E24" s="6"/>
      <c r="F24" s="23"/>
      <c r="G24" s="23"/>
      <c r="H24" s="22"/>
      <c r="I24" s="22"/>
      <c r="J24" s="6"/>
      <c r="K24" s="6"/>
      <c r="L24" s="6"/>
      <c r="M24" s="10"/>
      <c r="N24" s="10"/>
    </row>
    <row r="25" spans="1:14" ht="21.95" customHeight="1" x14ac:dyDescent="0.25">
      <c r="A25" s="10"/>
      <c r="B25" s="24"/>
      <c r="C25" s="24"/>
      <c r="D25" s="7"/>
      <c r="E25" s="7"/>
      <c r="F25" s="25"/>
      <c r="G25" s="25"/>
      <c r="H25" s="24"/>
      <c r="I25" s="24"/>
      <c r="J25" s="7"/>
      <c r="K25" s="7"/>
      <c r="L25" s="7"/>
      <c r="M25" s="10"/>
      <c r="N25" s="10"/>
    </row>
    <row r="26" spans="1:14" ht="21.95" customHeight="1" x14ac:dyDescent="0.25">
      <c r="A26" s="10"/>
      <c r="B26" s="22"/>
      <c r="C26" s="22"/>
      <c r="D26" s="6"/>
      <c r="E26" s="6"/>
      <c r="F26" s="23"/>
      <c r="G26" s="23"/>
      <c r="H26" s="22"/>
      <c r="I26" s="22"/>
      <c r="J26" s="6"/>
      <c r="K26" s="6"/>
      <c r="L26" s="6"/>
      <c r="M26" s="10"/>
      <c r="N26" s="10"/>
    </row>
    <row r="27" spans="1:14" ht="21.95" customHeight="1" x14ac:dyDescent="0.25">
      <c r="A27" s="10"/>
      <c r="B27" s="24"/>
      <c r="C27" s="24"/>
      <c r="D27" s="7"/>
      <c r="E27" s="7"/>
      <c r="F27" s="25"/>
      <c r="G27" s="25"/>
      <c r="H27" s="24"/>
      <c r="I27" s="24"/>
      <c r="J27" s="7"/>
      <c r="K27" s="7"/>
      <c r="L27" s="7"/>
      <c r="M27" s="10"/>
      <c r="N27" s="10"/>
    </row>
    <row r="28" spans="1:14" ht="21.95" customHeight="1" x14ac:dyDescent="0.25">
      <c r="A28" s="10"/>
      <c r="B28" s="22"/>
      <c r="C28" s="22"/>
      <c r="D28" s="6"/>
      <c r="E28" s="6"/>
      <c r="F28" s="23"/>
      <c r="G28" s="23"/>
      <c r="H28" s="22"/>
      <c r="I28" s="22"/>
      <c r="J28" s="6"/>
      <c r="K28" s="6"/>
      <c r="L28" s="6"/>
      <c r="M28" s="10"/>
      <c r="N28" s="10"/>
    </row>
    <row r="29" spans="1:14" ht="21.95" customHeight="1" x14ac:dyDescent="0.25">
      <c r="A29" s="10"/>
      <c r="B29" s="24"/>
      <c r="C29" s="24"/>
      <c r="D29" s="7"/>
      <c r="E29" s="7"/>
      <c r="F29" s="25"/>
      <c r="G29" s="25"/>
      <c r="H29" s="24"/>
      <c r="I29" s="24"/>
      <c r="J29" s="7"/>
      <c r="K29" s="7"/>
      <c r="L29" s="7"/>
      <c r="M29" s="10"/>
      <c r="N29" s="10"/>
    </row>
    <row r="30" spans="1:14" ht="21.95" customHeight="1" x14ac:dyDescent="0.25">
      <c r="A30" s="10"/>
      <c r="B30" s="22"/>
      <c r="C30" s="22"/>
      <c r="D30" s="6"/>
      <c r="E30" s="6"/>
      <c r="F30" s="23"/>
      <c r="G30" s="23"/>
      <c r="H30" s="22"/>
      <c r="I30" s="22"/>
      <c r="J30" s="6"/>
      <c r="K30" s="6"/>
      <c r="L30" s="6"/>
      <c r="M30" s="10"/>
      <c r="N30" s="10"/>
    </row>
    <row r="31" spans="1:14" ht="21.95" customHeight="1" x14ac:dyDescent="0.25">
      <c r="A31" s="10"/>
      <c r="B31" s="24"/>
      <c r="C31" s="24"/>
      <c r="D31" s="7"/>
      <c r="E31" s="7"/>
      <c r="F31" s="25"/>
      <c r="G31" s="25"/>
      <c r="H31" s="24"/>
      <c r="I31" s="24"/>
      <c r="J31" s="7"/>
      <c r="K31" s="7"/>
      <c r="L31" s="7"/>
      <c r="M31" s="10"/>
      <c r="N31" s="10"/>
    </row>
    <row r="32" spans="1:14" ht="21.95" customHeight="1" x14ac:dyDescent="0.25">
      <c r="A32" s="10"/>
      <c r="B32" s="22"/>
      <c r="C32" s="22"/>
      <c r="D32" s="6"/>
      <c r="E32" s="6"/>
      <c r="F32" s="23"/>
      <c r="G32" s="23"/>
      <c r="H32" s="22"/>
      <c r="I32" s="22"/>
      <c r="J32" s="6"/>
      <c r="K32" s="6"/>
      <c r="L32" s="6"/>
      <c r="M32" s="10"/>
      <c r="N32" s="10"/>
    </row>
    <row r="33" spans="1:14" ht="21.95" customHeight="1" x14ac:dyDescent="0.25">
      <c r="A33" s="10"/>
      <c r="B33" s="24"/>
      <c r="C33" s="24"/>
      <c r="D33" s="7"/>
      <c r="E33" s="7"/>
      <c r="F33" s="25"/>
      <c r="G33" s="25"/>
      <c r="H33" s="24"/>
      <c r="I33" s="24"/>
      <c r="J33" s="7"/>
      <c r="K33" s="7"/>
      <c r="L33" s="7"/>
      <c r="M33" s="10"/>
      <c r="N33" s="10"/>
    </row>
    <row r="34" spans="1:14" ht="21.95" customHeight="1" x14ac:dyDescent="0.25">
      <c r="A34" s="10"/>
      <c r="B34" s="22"/>
      <c r="C34" s="22"/>
      <c r="D34" s="6"/>
      <c r="E34" s="6"/>
      <c r="F34" s="23"/>
      <c r="G34" s="23"/>
      <c r="H34" s="22"/>
      <c r="I34" s="22"/>
      <c r="J34" s="6"/>
      <c r="K34" s="6"/>
      <c r="L34" s="6"/>
      <c r="M34" s="10"/>
      <c r="N34" s="10"/>
    </row>
    <row r="35" spans="1:14" ht="21.95" customHeight="1" x14ac:dyDescent="0.25">
      <c r="A35" s="10"/>
      <c r="B35" s="24"/>
      <c r="C35" s="24"/>
      <c r="D35" s="7"/>
      <c r="E35" s="7"/>
      <c r="F35" s="25"/>
      <c r="G35" s="25"/>
      <c r="H35" s="24"/>
      <c r="I35" s="24"/>
      <c r="J35" s="7"/>
      <c r="K35" s="7"/>
      <c r="L35" s="7"/>
      <c r="M35" s="10"/>
      <c r="N35" s="10"/>
    </row>
    <row r="36" spans="1:14" ht="21.95" customHeight="1" x14ac:dyDescent="0.25">
      <c r="A36" s="10"/>
      <c r="B36" s="22"/>
      <c r="C36" s="22"/>
      <c r="D36" s="6"/>
      <c r="E36" s="6"/>
      <c r="F36" s="23"/>
      <c r="G36" s="23"/>
      <c r="H36" s="22"/>
      <c r="I36" s="22"/>
      <c r="J36" s="6"/>
      <c r="K36" s="6"/>
      <c r="L36" s="6"/>
      <c r="M36" s="10"/>
      <c r="N36" s="10"/>
    </row>
    <row r="37" spans="1:14" ht="21.95" customHeight="1" x14ac:dyDescent="0.25">
      <c r="A37" s="10"/>
      <c r="B37" s="24"/>
      <c r="C37" s="24"/>
      <c r="D37" s="7"/>
      <c r="E37" s="7"/>
      <c r="F37" s="25"/>
      <c r="G37" s="25"/>
      <c r="H37" s="24"/>
      <c r="I37" s="24"/>
      <c r="J37" s="7"/>
      <c r="K37" s="7"/>
      <c r="L37" s="7"/>
      <c r="M37" s="10"/>
      <c r="N37" s="10"/>
    </row>
    <row r="38" spans="1:14" ht="21.95" customHeight="1" x14ac:dyDescent="0.25">
      <c r="A38" s="10"/>
      <c r="B38" s="22"/>
      <c r="C38" s="22"/>
      <c r="D38" s="6"/>
      <c r="E38" s="6"/>
      <c r="F38" s="23"/>
      <c r="G38" s="23"/>
      <c r="H38" s="22"/>
      <c r="I38" s="22"/>
      <c r="J38" s="6"/>
      <c r="K38" s="6"/>
      <c r="L38" s="6"/>
      <c r="M38" s="10"/>
      <c r="N38" s="10"/>
    </row>
    <row r="39" spans="1:14" ht="21.95" customHeight="1" x14ac:dyDescent="0.25">
      <c r="A39" s="10"/>
      <c r="B39" s="24"/>
      <c r="C39" s="24"/>
      <c r="D39" s="7"/>
      <c r="E39" s="7"/>
      <c r="F39" s="25"/>
      <c r="G39" s="25"/>
      <c r="H39" s="24"/>
      <c r="I39" s="24"/>
      <c r="J39" s="7"/>
      <c r="K39" s="7"/>
      <c r="L39" s="7"/>
      <c r="M39" s="10"/>
      <c r="N39" s="10"/>
    </row>
    <row r="40" spans="1:14" ht="21.95" customHeight="1" x14ac:dyDescent="0.25">
      <c r="A40" s="10"/>
      <c r="B40" s="22"/>
      <c r="C40" s="22"/>
      <c r="D40" s="6"/>
      <c r="E40" s="6"/>
      <c r="F40" s="23"/>
      <c r="G40" s="23"/>
      <c r="H40" s="22"/>
      <c r="I40" s="22"/>
      <c r="J40" s="6"/>
      <c r="K40" s="6"/>
      <c r="L40" s="6"/>
      <c r="M40" s="10"/>
      <c r="N40" s="10"/>
    </row>
    <row r="41" spans="1:14" ht="21.95" customHeight="1" x14ac:dyDescent="0.25">
      <c r="A41" s="10"/>
      <c r="B41" s="24"/>
      <c r="C41" s="24"/>
      <c r="D41" s="7"/>
      <c r="E41" s="7"/>
      <c r="F41" s="25"/>
      <c r="G41" s="25"/>
      <c r="H41" s="24"/>
      <c r="I41" s="24"/>
      <c r="J41" s="7"/>
      <c r="K41" s="7"/>
      <c r="L41" s="7"/>
      <c r="M41" s="10"/>
      <c r="N41" s="10"/>
    </row>
    <row r="42" spans="1:14" ht="21.95" customHeight="1" x14ac:dyDescent="0.25">
      <c r="A42" s="10"/>
      <c r="B42" s="22"/>
      <c r="C42" s="22"/>
      <c r="D42" s="6"/>
      <c r="E42" s="6"/>
      <c r="F42" s="23"/>
      <c r="G42" s="23"/>
      <c r="H42" s="22"/>
      <c r="I42" s="22"/>
      <c r="J42" s="6"/>
      <c r="K42" s="6"/>
      <c r="L42" s="6"/>
      <c r="M42" s="10"/>
      <c r="N42" s="10"/>
    </row>
    <row r="43" spans="1:14" ht="21.95" customHeight="1" x14ac:dyDescent="0.25">
      <c r="A43" s="10"/>
      <c r="B43" s="24"/>
      <c r="C43" s="24"/>
      <c r="D43" s="7"/>
      <c r="E43" s="7"/>
      <c r="F43" s="25"/>
      <c r="G43" s="25"/>
      <c r="H43" s="24"/>
      <c r="I43" s="24"/>
      <c r="J43" s="7"/>
      <c r="K43" s="7"/>
      <c r="L43" s="7"/>
      <c r="M43" s="10"/>
      <c r="N43" s="10"/>
    </row>
    <row r="44" spans="1:14" ht="21.95" customHeight="1" x14ac:dyDescent="0.25">
      <c r="A44" s="10"/>
      <c r="B44" s="22"/>
      <c r="C44" s="22"/>
      <c r="D44" s="6"/>
      <c r="E44" s="6"/>
      <c r="F44" s="23"/>
      <c r="G44" s="23"/>
      <c r="H44" s="22"/>
      <c r="I44" s="22"/>
      <c r="J44" s="6"/>
      <c r="K44" s="6"/>
      <c r="L44" s="6"/>
      <c r="M44" s="10"/>
      <c r="N44" s="10"/>
    </row>
    <row r="45" spans="1:14" ht="21.95" customHeight="1" x14ac:dyDescent="0.25">
      <c r="A45" s="10"/>
      <c r="B45" s="24"/>
      <c r="C45" s="24"/>
      <c r="D45" s="7"/>
      <c r="E45" s="7"/>
      <c r="F45" s="25"/>
      <c r="G45" s="25"/>
      <c r="H45" s="24"/>
      <c r="I45" s="24"/>
      <c r="J45" s="7"/>
      <c r="K45" s="7"/>
      <c r="L45" s="7"/>
      <c r="M45" s="10"/>
      <c r="N45" s="10"/>
    </row>
    <row r="46" spans="1:14" ht="21.95" customHeight="1" x14ac:dyDescent="0.25">
      <c r="A46" s="10"/>
      <c r="B46" s="22"/>
      <c r="C46" s="22"/>
      <c r="D46" s="6"/>
      <c r="E46" s="6"/>
      <c r="F46" s="23"/>
      <c r="G46" s="23"/>
      <c r="H46" s="22"/>
      <c r="I46" s="22"/>
      <c r="J46" s="6"/>
      <c r="K46" s="6"/>
      <c r="L46" s="6"/>
      <c r="M46" s="10"/>
      <c r="N46" s="10"/>
    </row>
    <row r="47" spans="1:14" ht="21.95" customHeight="1" x14ac:dyDescent="0.25">
      <c r="A47" s="10"/>
      <c r="B47" s="24"/>
      <c r="C47" s="24"/>
      <c r="D47" s="7"/>
      <c r="E47" s="7"/>
      <c r="F47" s="25"/>
      <c r="G47" s="25"/>
      <c r="H47" s="24"/>
      <c r="I47" s="24"/>
      <c r="J47" s="7"/>
      <c r="K47" s="7"/>
      <c r="L47" s="7"/>
      <c r="M47" s="10"/>
      <c r="N47" s="10"/>
    </row>
    <row r="48" spans="1:14" ht="21.95" customHeight="1" x14ac:dyDescent="0.25">
      <c r="A48" s="10"/>
      <c r="B48" s="22"/>
      <c r="C48" s="22"/>
      <c r="D48" s="6"/>
      <c r="E48" s="6"/>
      <c r="F48" s="23"/>
      <c r="G48" s="23"/>
      <c r="H48" s="22"/>
      <c r="I48" s="22"/>
      <c r="J48" s="6"/>
      <c r="K48" s="6"/>
      <c r="L48" s="6"/>
      <c r="M48" s="10"/>
      <c r="N48" s="10"/>
    </row>
    <row r="49" spans="1:14" ht="21.95" customHeight="1" x14ac:dyDescent="0.25">
      <c r="A49" s="10"/>
      <c r="B49" s="24"/>
      <c r="C49" s="24"/>
      <c r="D49" s="7"/>
      <c r="E49" s="7"/>
      <c r="F49" s="25"/>
      <c r="G49" s="25"/>
      <c r="H49" s="24"/>
      <c r="I49" s="24"/>
      <c r="J49" s="7"/>
      <c r="K49" s="7"/>
      <c r="L49" s="7"/>
      <c r="M49" s="10"/>
      <c r="N49" s="10"/>
    </row>
    <row r="50" spans="1:14" ht="21.95" customHeight="1" x14ac:dyDescent="0.25">
      <c r="A50" s="10"/>
      <c r="B50" s="22"/>
      <c r="C50" s="22"/>
      <c r="D50" s="6"/>
      <c r="E50" s="6"/>
      <c r="F50" s="23"/>
      <c r="G50" s="23"/>
      <c r="H50" s="22"/>
      <c r="I50" s="22"/>
      <c r="J50" s="6"/>
      <c r="K50" s="6"/>
      <c r="L50" s="6"/>
      <c r="M50" s="10"/>
      <c r="N50" s="10"/>
    </row>
    <row r="51" spans="1:14" ht="21.95" customHeight="1" x14ac:dyDescent="0.25">
      <c r="A51" s="10"/>
      <c r="B51" s="24"/>
      <c r="C51" s="24"/>
      <c r="D51" s="7"/>
      <c r="E51" s="7"/>
      <c r="F51" s="25"/>
      <c r="G51" s="25"/>
      <c r="H51" s="24"/>
      <c r="I51" s="24"/>
      <c r="J51" s="7"/>
      <c r="K51" s="7"/>
      <c r="L51" s="7"/>
      <c r="M51" s="10"/>
      <c r="N51" s="10"/>
    </row>
    <row r="52" spans="1:14" ht="21.95" customHeight="1" x14ac:dyDescent="0.25">
      <c r="A52" s="10"/>
      <c r="B52" s="22"/>
      <c r="C52" s="22"/>
      <c r="D52" s="6"/>
      <c r="E52" s="6"/>
      <c r="F52" s="23"/>
      <c r="G52" s="23"/>
      <c r="H52" s="22"/>
      <c r="I52" s="22"/>
      <c r="J52" s="6"/>
      <c r="K52" s="6"/>
      <c r="L52" s="6"/>
      <c r="M52" s="10"/>
      <c r="N52" s="10"/>
    </row>
    <row r="53" spans="1:14" ht="21.95" customHeight="1" x14ac:dyDescent="0.25">
      <c r="A53" s="10"/>
      <c r="B53" s="24"/>
      <c r="C53" s="24"/>
      <c r="D53" s="7"/>
      <c r="E53" s="7"/>
      <c r="F53" s="25"/>
      <c r="G53" s="25"/>
      <c r="H53" s="24"/>
      <c r="I53" s="24"/>
      <c r="J53" s="7"/>
      <c r="K53" s="7"/>
      <c r="L53" s="7"/>
      <c r="M53" s="10"/>
      <c r="N53" s="10"/>
    </row>
    <row r="54" spans="1:14" ht="21.95" customHeight="1" x14ac:dyDescent="0.25">
      <c r="A54" s="10"/>
      <c r="B54" s="22"/>
      <c r="C54" s="22"/>
      <c r="D54" s="6"/>
      <c r="E54" s="6"/>
      <c r="F54" s="23"/>
      <c r="G54" s="23"/>
      <c r="H54" s="22"/>
      <c r="I54" s="22"/>
      <c r="J54" s="6"/>
      <c r="K54" s="6"/>
      <c r="L54" s="6"/>
      <c r="M54" s="10"/>
      <c r="N54" s="10"/>
    </row>
    <row r="55" spans="1:14" ht="21.95" customHeight="1" x14ac:dyDescent="0.25">
      <c r="A55" s="10"/>
      <c r="B55" s="24"/>
      <c r="C55" s="24"/>
      <c r="D55" s="7"/>
      <c r="E55" s="7"/>
      <c r="F55" s="25"/>
      <c r="G55" s="25"/>
      <c r="H55" s="24"/>
      <c r="I55" s="24"/>
      <c r="J55" s="7"/>
      <c r="K55" s="7"/>
      <c r="L55" s="7"/>
      <c r="M55" s="10"/>
      <c r="N55" s="10"/>
    </row>
    <row r="56" spans="1:14" ht="21.95" customHeight="1" x14ac:dyDescent="0.25">
      <c r="A56" s="10"/>
      <c r="B56" s="22"/>
      <c r="C56" s="22"/>
      <c r="D56" s="6"/>
      <c r="E56" s="6"/>
      <c r="F56" s="23"/>
      <c r="G56" s="23"/>
      <c r="H56" s="22"/>
      <c r="I56" s="22"/>
      <c r="J56" s="6"/>
      <c r="K56" s="6"/>
      <c r="L56" s="6"/>
      <c r="M56" s="10"/>
      <c r="N56" s="10"/>
    </row>
    <row r="57" spans="1:14" ht="21.95" customHeight="1" x14ac:dyDescent="0.25">
      <c r="A57" s="10"/>
      <c r="B57" s="24"/>
      <c r="C57" s="24"/>
      <c r="D57" s="7"/>
      <c r="E57" s="7"/>
      <c r="F57" s="25"/>
      <c r="G57" s="25"/>
      <c r="H57" s="24"/>
      <c r="I57" s="24"/>
      <c r="J57" s="7"/>
      <c r="K57" s="7"/>
      <c r="L57" s="7"/>
      <c r="M57" s="10"/>
      <c r="N57" s="10"/>
    </row>
    <row r="58" spans="1:14" ht="21.95" customHeight="1" x14ac:dyDescent="0.25">
      <c r="A58" s="10"/>
      <c r="B58" s="22"/>
      <c r="C58" s="22"/>
      <c r="D58" s="6"/>
      <c r="E58" s="6"/>
      <c r="F58" s="23"/>
      <c r="G58" s="23"/>
      <c r="H58" s="22"/>
      <c r="I58" s="22"/>
      <c r="J58" s="6"/>
      <c r="K58" s="6"/>
      <c r="L58" s="6"/>
      <c r="M58" s="10"/>
      <c r="N58" s="10"/>
    </row>
    <row r="59" spans="1:14" ht="21.95" customHeight="1" x14ac:dyDescent="0.25">
      <c r="A59" s="10"/>
      <c r="B59" s="24"/>
      <c r="C59" s="24"/>
      <c r="D59" s="7"/>
      <c r="E59" s="7"/>
      <c r="F59" s="25"/>
      <c r="G59" s="25"/>
      <c r="H59" s="24"/>
      <c r="I59" s="24"/>
      <c r="J59" s="7"/>
      <c r="K59" s="7"/>
      <c r="L59" s="7"/>
      <c r="M59" s="10"/>
      <c r="N59" s="10"/>
    </row>
    <row r="60" spans="1:14" ht="21.95" customHeight="1" x14ac:dyDescent="0.25">
      <c r="A60" s="10"/>
      <c r="B60" s="22"/>
      <c r="C60" s="22"/>
      <c r="D60" s="6"/>
      <c r="E60" s="6"/>
      <c r="F60" s="23"/>
      <c r="G60" s="23"/>
      <c r="H60" s="22"/>
      <c r="I60" s="22"/>
      <c r="J60" s="6"/>
      <c r="K60" s="6"/>
      <c r="L60" s="6"/>
      <c r="M60" s="10"/>
      <c r="N60" s="10"/>
    </row>
    <row r="61" spans="1:14" ht="21.95" customHeight="1" x14ac:dyDescent="0.25">
      <c r="A61" s="10"/>
      <c r="B61" s="24"/>
      <c r="C61" s="24"/>
      <c r="D61" s="7"/>
      <c r="E61" s="7"/>
      <c r="F61" s="25"/>
      <c r="G61" s="25"/>
      <c r="H61" s="24"/>
      <c r="I61" s="24"/>
      <c r="J61" s="7"/>
      <c r="K61" s="7"/>
      <c r="L61" s="7"/>
      <c r="M61" s="10"/>
      <c r="N61" s="10"/>
    </row>
  </sheetData>
  <mergeCells count="13">
    <mergeCell ref="J9:K9"/>
    <mergeCell ref="H8:I8"/>
    <mergeCell ref="B9:C9"/>
    <mergeCell ref="D9:E9"/>
    <mergeCell ref="B8:C8"/>
    <mergeCell ref="H9:I9"/>
    <mergeCell ref="F9:G9"/>
    <mergeCell ref="F8:G8"/>
    <mergeCell ref="D8:E8"/>
    <mergeCell ref="B4:L4"/>
    <mergeCell ref="B7:L7"/>
    <mergeCell ref="B2:L2"/>
    <mergeCell ref="J8:K8"/>
  </mergeCells>
  <pageMargins left="0.75" right="0.75" top="1" bottom="1" header="0.5" footer="0.5"/>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
  <sheetViews>
    <sheetView showGridLines="0" workbookViewId="0"/>
  </sheetViews>
  <sheetFormatPr defaultRowHeight="15" x14ac:dyDescent="0.25"/>
  <cols>
    <col min="1" max="1" width="2" customWidth="1"/>
    <col min="2" max="2" width="30" customWidth="1"/>
    <col min="3" max="3" width="60" customWidth="1"/>
    <col min="4" max="4" width="2" customWidth="1"/>
  </cols>
  <sheetData>
    <row r="1" spans="1:3" ht="6" customHeight="1" x14ac:dyDescent="0.25">
      <c r="A1" s="10"/>
      <c r="B1" s="10"/>
      <c r="C1" s="3"/>
    </row>
    <row r="2" spans="1:3" ht="33.950000000000003" customHeight="1" x14ac:dyDescent="0.25">
      <c r="A2" s="10"/>
      <c r="B2" s="49" t="s">
        <v>232</v>
      </c>
      <c r="C2" s="38"/>
    </row>
    <row r="3" spans="1:3" ht="6" customHeight="1" x14ac:dyDescent="0.25">
      <c r="A3" s="10"/>
      <c r="B3" s="10"/>
      <c r="C3" s="3"/>
    </row>
    <row r="4" spans="1:3" ht="20.100000000000001" customHeight="1" x14ac:dyDescent="0.25">
      <c r="A4" s="10"/>
      <c r="B4" s="48" t="s">
        <v>233</v>
      </c>
      <c r="C4" s="34"/>
    </row>
    <row r="5" spans="1:3" ht="20.100000000000001" customHeight="1" x14ac:dyDescent="0.25">
      <c r="A5" s="10"/>
      <c r="B5" s="50" t="s">
        <v>234</v>
      </c>
      <c r="C5" s="34"/>
    </row>
    <row r="6" spans="1:3" ht="6" customHeight="1" x14ac:dyDescent="0.25">
      <c r="A6" s="10"/>
      <c r="B6" s="10"/>
      <c r="C6" s="3"/>
    </row>
    <row r="7" spans="1:3" ht="20.100000000000001" customHeight="1" x14ac:dyDescent="0.25">
      <c r="A7" s="10"/>
      <c r="B7" s="48" t="s">
        <v>235</v>
      </c>
      <c r="C7" s="34"/>
    </row>
    <row r="8" spans="1:3" ht="18" customHeight="1" x14ac:dyDescent="0.25">
      <c r="A8" s="10"/>
      <c r="B8" s="50" t="s">
        <v>236</v>
      </c>
      <c r="C8" s="34"/>
    </row>
    <row r="9" spans="1:3" ht="32.1" customHeight="1" x14ac:dyDescent="0.25">
      <c r="A9" s="10"/>
      <c r="B9" s="10"/>
      <c r="C9" s="3"/>
    </row>
    <row r="10" spans="1:3" ht="6" customHeight="1" x14ac:dyDescent="0.25">
      <c r="A10" s="10"/>
      <c r="B10" s="48" t="s">
        <v>237</v>
      </c>
      <c r="C10" s="34"/>
    </row>
    <row r="11" spans="1:3" ht="20.100000000000001" customHeight="1" x14ac:dyDescent="0.25">
      <c r="A11" s="10"/>
      <c r="B11" s="50" t="s">
        <v>238</v>
      </c>
      <c r="C11" s="34"/>
    </row>
    <row r="12" spans="1:3" ht="21.95" customHeight="1" x14ac:dyDescent="0.25">
      <c r="A12" s="10"/>
      <c r="B12" s="10"/>
      <c r="C12" s="3"/>
    </row>
    <row r="13" spans="1:3" ht="21.95" customHeight="1" x14ac:dyDescent="0.25">
      <c r="A13" s="10"/>
      <c r="B13" s="48" t="s">
        <v>239</v>
      </c>
      <c r="C13" s="34"/>
    </row>
    <row r="14" spans="1:3" ht="21.95" customHeight="1" x14ac:dyDescent="0.25">
      <c r="A14" s="10"/>
      <c r="B14" s="50" t="s">
        <v>240</v>
      </c>
      <c r="C14" s="34"/>
    </row>
    <row r="15" spans="1:3" ht="21.95" customHeight="1" x14ac:dyDescent="0.25">
      <c r="A15" s="10"/>
      <c r="B15" s="10"/>
      <c r="C15" s="3"/>
    </row>
    <row r="16" spans="1:3" ht="21.95" customHeight="1" x14ac:dyDescent="0.25">
      <c r="A16" s="10"/>
      <c r="B16" s="48" t="s">
        <v>241</v>
      </c>
      <c r="C16" s="34"/>
    </row>
    <row r="17" spans="1:3" ht="21.95" customHeight="1" x14ac:dyDescent="0.25">
      <c r="A17" s="10"/>
      <c r="B17" s="50" t="s">
        <v>242</v>
      </c>
      <c r="C17" s="34"/>
    </row>
    <row r="18" spans="1:3" ht="21.95" customHeight="1" x14ac:dyDescent="0.25">
      <c r="A18" s="10"/>
      <c r="B18" s="10"/>
      <c r="C18" s="3"/>
    </row>
    <row r="19" spans="1:3" ht="21.95" customHeight="1" x14ac:dyDescent="0.25">
      <c r="A19" s="10"/>
      <c r="B19" s="48" t="s">
        <v>243</v>
      </c>
      <c r="C19" s="34"/>
    </row>
    <row r="20" spans="1:3" ht="21.95" customHeight="1" x14ac:dyDescent="0.25">
      <c r="A20" s="10"/>
      <c r="B20" s="50" t="s">
        <v>244</v>
      </c>
      <c r="C20" s="34"/>
    </row>
    <row r="21" spans="1:3" ht="21.95" customHeight="1" x14ac:dyDescent="0.25">
      <c r="A21" s="10"/>
      <c r="B21" s="10"/>
      <c r="C21" s="3"/>
    </row>
    <row r="22" spans="1:3" ht="21.95" customHeight="1" x14ac:dyDescent="0.25">
      <c r="A22" s="10"/>
      <c r="B22" s="48" t="s">
        <v>245</v>
      </c>
      <c r="C22" s="34"/>
    </row>
    <row r="23" spans="1:3" ht="21.95" customHeight="1" x14ac:dyDescent="0.25">
      <c r="A23" s="10"/>
      <c r="B23" s="50" t="s">
        <v>246</v>
      </c>
      <c r="C23" s="34"/>
    </row>
    <row r="24" spans="1:3" ht="21.95" customHeight="1" x14ac:dyDescent="0.25">
      <c r="A24" s="10"/>
      <c r="B24" s="10"/>
      <c r="C24" s="3"/>
    </row>
    <row r="25" spans="1:3" ht="21.95" customHeight="1" x14ac:dyDescent="0.25">
      <c r="A25" s="10"/>
      <c r="B25" s="48" t="s">
        <v>247</v>
      </c>
      <c r="C25" s="34"/>
    </row>
    <row r="26" spans="1:3" ht="21.95" customHeight="1" x14ac:dyDescent="0.25">
      <c r="A26" s="10"/>
      <c r="B26" s="50" t="s">
        <v>248</v>
      </c>
      <c r="C26" s="34"/>
    </row>
  </sheetData>
  <mergeCells count="17">
    <mergeCell ref="B26:C26"/>
    <mergeCell ref="B8:C8"/>
    <mergeCell ref="B4:C4"/>
    <mergeCell ref="B17:C17"/>
    <mergeCell ref="B25:C25"/>
    <mergeCell ref="B5:C5"/>
    <mergeCell ref="B19:C19"/>
    <mergeCell ref="B20:C20"/>
    <mergeCell ref="B10:C10"/>
    <mergeCell ref="B23:C23"/>
    <mergeCell ref="B22:C22"/>
    <mergeCell ref="B14:C14"/>
    <mergeCell ref="B13:C13"/>
    <mergeCell ref="B2:C2"/>
    <mergeCell ref="B16:C16"/>
    <mergeCell ref="B7:C7"/>
    <mergeCell ref="B11:C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Risks</vt:lpstr>
      <vt:lpstr>Assumptions</vt:lpstr>
      <vt:lpstr>Issues</vt:lpstr>
      <vt:lpstr>Dependencies</vt:lpstr>
      <vt:lpstr>Instructions</vt:lpstr>
      <vt:lpstr>Assumptions!Print_Area</vt:lpstr>
      <vt:lpstr>Dependencies!Print_Area</vt:lpstr>
      <vt:lpstr>Issues!Print_Area</vt:lpstr>
      <vt:lpstr>Risks!Print_Area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2026-03-17T16:55:10Z</dcterms:created>
  <dcterms:modified xsi:type="dcterms:W3CDTF">2026-03-18T07:58:36Z</dcterms:modified>
</cp:coreProperties>
</file>